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短期優惠訊息" sheetId="1" r:id="rId4"/>
    <sheet state="visible" name="住旅(北)" sheetId="2" r:id="rId5"/>
    <sheet state="visible" name="住旅(中)" sheetId="3" r:id="rId6"/>
    <sheet state="visible" name="住旅(南)" sheetId="4" r:id="rId7"/>
    <sheet state="visible" name="住旅(東)" sheetId="5" r:id="rId8"/>
    <sheet state="visible" name="住旅(交通)" sheetId="6" r:id="rId9"/>
    <sheet state="visible" name="美食" sheetId="7" r:id="rId10"/>
    <sheet state="visible" name="購物" sheetId="8" r:id="rId11"/>
    <sheet state="visible" name="便利生活" sheetId="9" r:id="rId12"/>
  </sheets>
  <definedNames>
    <definedName hidden="1" localSheetId="2" name="_xlnm._FilterDatabase">'住旅(中)'!$A$3:$F$5</definedName>
  </definedNames>
  <calcPr/>
</workbook>
</file>

<file path=xl/sharedStrings.xml><?xml version="1.0" encoding="utf-8"?>
<sst xmlns="http://schemas.openxmlformats.org/spreadsheetml/2006/main" count="334" uniqueCount="211">
  <si>
    <t>財務管理處為臺大校外特約廠商主要聯絡簽約窗口，並將廠商所提供之服務項目，發佈於校內網站公告週知，與各服務廠商之間無任何代理或合夥關係。
各廠商所提供之服務，皆由廠商自行控管品質，敬請使用者自行評估後擇優使用。若衍生相關爭議，概與財務管理處無涉。</t>
  </si>
  <si>
    <t xml:space="preserve"> </t>
  </si>
  <si>
    <t>依環保署規定,自2025/01/01起，旅宿業不主動提供/不販賣一次性備品(梳子、牙刷、牙膏、刮鬍刀、刮鬍泡及浴帽)，相關內容依各飯店規定為準。</t>
  </si>
  <si>
    <t>【美國聯合航空】提供機票優惠，開票日116/04/30前 ( 出發日116/10/31前 ) ，本校教職員工、學生敬請多加利用！（管理單位：臺大國際處）</t>
  </si>
  <si>
    <t>商家名稱</t>
  </si>
  <si>
    <t>商家資訊</t>
  </si>
  <si>
    <r>
      <rPr>
        <rFont val="Microsoft JhengHei"/>
        <b/>
        <color rgb="FF3C78D8"/>
        <sz val="18.0"/>
        <u/>
      </rPr>
      <t>由臺灣出發至美洲（美國、加拿大、中/南美洲 (古巴除外)、墨西哥）之聯合航空/全日空航線，享有票價</t>
    </r>
    <r>
      <rPr>
        <rFont val="Microsoft JhengHei"/>
        <b/>
        <color rgb="FFFF0000"/>
        <sz val="18.0"/>
        <u/>
      </rPr>
      <t>5%折扣</t>
    </r>
    <r>
      <rPr>
        <rFont val="Microsoft JhengHei"/>
        <b/>
        <color rgb="FF3C78D8"/>
        <sz val="18.0"/>
        <u/>
      </rPr>
      <t xml:space="preserve">
請透過指定服務旅行社訂票 https://reurl.cc/6dn5OV</t>
    </r>
  </si>
  <si>
    <t>優惠連結</t>
  </si>
  <si>
    <t>合約期限</t>
  </si>
  <si>
    <t>備註</t>
  </si>
  <si>
    <t xml:space="preserve">
電話：各分館資訊請詳見官網
地址：各分館資訊請詳見官網(台北一館、台北二館、桃園、桃園機場捷運A8、高雄、淡水漁人碼頭、福隆(旅館區)、福隆貝悅(VILLA區)、花蓮、林口、中壢、水里、高雄、墾丁、澎湖) 
營業時間： 24小時
營業項目：住宿服務
優惠內容：臺大教職員工生及校友，預先訂房時主動告知所屬身份，並提供臺灣大學統編：03734301，入住時憑臺大證件享優惠價
網站：http://www.fullon-hotels.com.tw/ 
</t>
  </si>
  <si>
    <r>
      <rPr>
        <rFont val="Microsoft JhengHei"/>
        <b/>
        <color rgb="FF3C78D8"/>
        <sz val="18.0"/>
        <u/>
      </rPr>
      <t xml:space="preserve">『WOW美食休閒網』與多家廠商合作，以手機下載APP並開通電子版「 WOW驚喜卡」後，出示即可享合作廠商優惠折扣。
</t>
    </r>
    <r>
      <rPr>
        <rFont val="Microsoft JhengHei"/>
        <b/>
        <color rgb="FF3C78D8"/>
        <sz val="12.0"/>
        <u/>
      </rPr>
      <t xml:space="preserve">
臺大教職員工、學生、校友及眷屬，請將</t>
    </r>
    <r>
      <rPr>
        <rFont val="Microsoft JhengHei"/>
        <b/>
        <color rgb="FF990000"/>
        <sz val="12.0"/>
        <u/>
      </rPr>
      <t>臺大識別證</t>
    </r>
    <r>
      <rPr>
        <rFont val="Microsoft JhengHei"/>
        <b/>
        <color rgb="FF3C78D8"/>
        <sz val="12.0"/>
        <u/>
      </rPr>
      <t>拍照或掃描，Email至臺大財務管理處-公務信箱：</t>
    </r>
    <r>
      <rPr>
        <rFont val="Microsoft JhengHei"/>
        <b/>
        <color rgb="FFFF0000"/>
        <sz val="12.0"/>
        <u/>
      </rPr>
      <t>ntufinance@ntu.edu.tw</t>
    </r>
    <r>
      <rPr>
        <rFont val="Microsoft JhengHei"/>
        <b/>
        <color rgb="FF3C78D8"/>
        <sz val="12.0"/>
        <u/>
      </rPr>
      <t xml:space="preserve">  ，
信件主旨註明：</t>
    </r>
    <r>
      <rPr>
        <rFont val="Microsoft JhengHei"/>
        <b/>
        <color rgb="FFFF0000"/>
        <sz val="12.0"/>
        <u/>
      </rPr>
      <t>索取 「WOW美食休閒網驚喜卡」</t>
    </r>
    <r>
      <rPr>
        <rFont val="Microsoft JhengHei"/>
        <b/>
        <color rgb="FF3C78D8"/>
        <sz val="12.0"/>
        <u/>
      </rPr>
      <t xml:space="preserve">，財務管理處即提供1組序號供手機下載APP後開通使用。
APP 搜尋: &lt;WOWCARD 哇卡好&gt;
一個序號綁定一支手機，序號使用效期自開通起算二年，若中途有更換手機或使用相關問題，麻煩提供註冊帳號給WOW美食網客服04-2251-8770重置.
</t>
    </r>
    <r>
      <rPr>
        <rFont val="Microsoft JhengHei"/>
        <b/>
        <color rgb="FF3C78D8"/>
        <sz val="12.0"/>
      </rPr>
      <t xml:space="preserve">
註：WOW美食休閒網所合作店家，部分可能與臺大單獨簽約店家重覆，敬請自行比價後擇優使用。</t>
    </r>
  </si>
  <si>
    <t>https://drive.google.com/file/d/1onqOQ3q7uu1yZbEO0N8CTIiD1dfRrwLi/view?usp=drive_link</t>
  </si>
  <si>
    <t>眷屬證適用</t>
  </si>
  <si>
    <t>福容大飯店
-福容徠旅-林口館</t>
  </si>
  <si>
    <t>高雄福華大飯店</t>
  </si>
  <si>
    <t>電話：03-327-7338
地址：桃園市龜山區文二一街68號
營業時間： 24小時
營業項目：住宿服務
優惠內容：臺大教職員工生及校友，預先訂房時主動告知所屬身份，並提供臺灣大學統編：03734301，入住時憑臺大證件享優惠價
網站：https://www.fullon-hotels.com.tw/fullon-poshtels/tw/</t>
  </si>
  <si>
    <t>https://drive.google.com/file/d/1dqMtiwTe0fSa5uuy0pCoBlU6z4L7ztTr/view?usp=drive_link</t>
  </si>
  <si>
    <t xml:space="preserve">電話：07-236-2323
地址：高雄市七賢一路311號
營業時間： 24小時
營業項目：住宿服務
優惠內容：臺大教職員工生及校友，預先訂房時主動告知所屬身份，入住時憑臺大證件享優惠價。
網站：https://www.howard-hotels.com.tw/zh_TW/HotelBusiness/136
</t>
  </si>
  <si>
    <t>https://drive.google.com/file/d/1axe3nuecxlndOMpIN6XZCUvbfc9K__Uw/view?usp=drive_link</t>
  </si>
  <si>
    <t>溪頭福華渡假飯店</t>
  </si>
  <si>
    <t>台北福華大飯店</t>
  </si>
  <si>
    <t xml:space="preserve">電話：02-2700-2323
地址：台北市大安區仁愛路三段160號
營業時間： 24小時
營業項目：住宿服務
優惠內容：臺大教職員工生及校友，預先訂房時主動告知所屬身份，入住時憑臺大證件享優惠價。
網站：https://www.howard-hotels.com.tw/zh_TW/HotelBusiness/91
</t>
  </si>
  <si>
    <t>https://drive.google.com/file/d/15KDhB-sMG-2mwbTcn7zOv9Qe1aBpaFrJ/view?usp=drive_link</t>
  </si>
  <si>
    <t>電話：各分館資訊請詳見官網
地址：各分館資訊請詳見官網 (淡水吹風、花蓮山知道、小承輕旅-高雄館、潭日月、桃城茶樣子)
網站：http://www.hotelday.com.tw/hotel03.aspx
營業時間： 24小時
營業項目：住宿服務
優惠內容：
依身分別提供優惠內容請參照右側優惠連結(臺大教職員工、學生及校友)。訂房時主動告知臺灣大學之名稱或統編(03734301)，入住時憑臺大證件享優惠價。</t>
  </si>
  <si>
    <t>https://drive.google.com/file/d/1s2pHUEjJKN7A5NzXgaNsriHijWAq9R6w/view?usp=drive_link
https://drive.google.com/file/d/11kC4Kq-TPEm0nCVN_uP-uauEkzbwdqch/view?usp=drive_link</t>
  </si>
  <si>
    <t>電話：049-2612588
地址： 南投縣鹿谷鄉內湖村森林巷10號
營業時間： 24小時
營業項目：住宿服務
優惠內容：臺大教職員工生及校友，預先訂房時主動告知所屬身份，並提供臺灣大學統編：03734301，入住時憑臺大證件享優惠價
網站：https://www.howard-hotels.com.tw/zh_TW/HotelVacation/146</t>
  </si>
  <si>
    <t>https://drive.google.com/file/d/1nKhcV5Q4qZU5tHDR5VVErjnpDdkDnGcQ/view?usp=drive_link</t>
  </si>
  <si>
    <t>公務人力發展學院
福華國際文教會館</t>
  </si>
  <si>
    <t>承億酒店</t>
  </si>
  <si>
    <t>電話：02-7712-2323
地址：臺北市大安區新生南路三段30號
營業時間： 24小時
營業項目：住宿服務
優惠內容：臺大教職員工生及校友(含眷屬)，預先訂房時主動告知所屬身份，入住時憑臺大證件享優惠價。
網站：https://www.howard-hotels.com.tw/zh_TW/HotelBusiness/96</t>
  </si>
  <si>
    <t>https://drive.google.com/file/d/1oeGCch6e8IP0gDVJ4DCJlkVy5Kjr8LDs/view?usp=drive_link</t>
  </si>
  <si>
    <t>電話：(07)333-3999
地址：高雄市前鎮區林森四路189號
營業時間： 24小時
營業項目：住宿服務
優惠內容：教職員工生及校友，預先訂房時主動告知所屬身份，入住時憑臺大證件享優惠價
網站：https://www.taiurbanresort.com.tw/</t>
  </si>
  <si>
    <t>台中大毅老爺行旅</t>
  </si>
  <si>
    <t>石門水庫福華渡假飯店</t>
  </si>
  <si>
    <t>2026合約簽署中，敬請期待
（合約簽署完成前， 可適用合約優惠價，訂房請洽承億酒店-蕭先生Eric）</t>
  </si>
  <si>
    <t>台南富信大飯店</t>
  </si>
  <si>
    <t>電話：(03)4112323
地址：桃園市龍潭區大平里民富街 176 號
營業時間： 24小時
營業項目：住宿服務
優惠內容：臺大教職員工生及校友，預先訂房時主動告知所屬身份，入住時憑臺大證件享優惠價
網站：https://www.howard-hotels.com.tw/zh_TW/HotelVacation/116</t>
  </si>
  <si>
    <t>https://drive.google.com/file/d/17-mdrJdHX2ioMQbHHFG3yT5rdhzc_vbX/view?usp=drive_link</t>
  </si>
  <si>
    <t>電話：(04)2376-6732
地址：台中市西區英才路601號
營業時間： 24小時
營業項目：住宿服務
優惠內容：臺大教職員工生及校友，預先訂房時主動告知所屬身份，入住時憑臺大證件享優惠價
網站：https://www.hotelroyal.com.tw/zh-tw/taichung</t>
  </si>
  <si>
    <t>電話：06-2227085
地址：台南市北區成功路336號
營業時間： 24小時
營業項目：住宿服務
優惠內容：臺大教職員工生及校友，預先訂房時主動告知所屬身份，入住時憑臺大證件享優惠價
網站：http://www.fushin-hotel.com.tw/tainan/tw/</t>
  </si>
  <si>
    <t>https://drive.google.com/file/d/1kQr6onLbcaI3vgFJ8bT3GQjwgvcuEqNC/view?usp=drive_link</t>
  </si>
  <si>
    <t>新竹福華大飯店</t>
  </si>
  <si>
    <t>https://drive.google.com/file/d/1Y9niTVTpr7FX9Oc7GXN-KN9pqrkp7ukh/view?usp=drive_link</t>
  </si>
  <si>
    <t xml:space="preserve">電話：03-5282323
地址：新竹市北區中正路178號
營業時間： 24小時
營業項目：住宿服務
優惠內容：臺大教職員工生及校友，預先訂房時主動告知所屬身份，入住時憑臺大證件享優惠價。
網站：https://www.howard-hotels.com.tw/zh_TW/HotelBusiness/101
</t>
  </si>
  <si>
    <t>https://drive.google.com/file/d/1PGNYUCKeBQOgCkSo7WsMGTQY1DiBVMwp/view?usp=drive_link</t>
  </si>
  <si>
    <t>台南富華大飯店</t>
  </si>
  <si>
    <t>寶島53行館</t>
  </si>
  <si>
    <t>圓山大飯店</t>
  </si>
  <si>
    <t>電話： 06-2227085
地址：台南市中西區忠義路二段28號
營業時間： 24小時
營業項目：住宿服務
優惠內容：臺大教職員工生及校友，預先訂房時主動告知所屬身份，入住時憑臺大證件享優惠價
網站：http://www.fuward-hotel.com.tw/tainan/tw/about/</t>
  </si>
  <si>
    <t>高雄萬豪酒店</t>
  </si>
  <si>
    <t xml:space="preserve">
電話：04-2220-5368
地址：台中市中區中山路 27 號
營業時間： 24小時
營業項目：住宿服務
優惠內容：臺大教職員工生及校友，請以電話訂房，並主動告知臺灣大學與特約編號（統編03734301）之名稱，入住時憑臺大證件享優惠價 
網站：https://www.53hotel.com.tw/ch/about.html
</t>
  </si>
  <si>
    <t>https://drive.google.com/file/d/1NY1Po9eJeV8B0XSt4Wb5J7TshUoS4ML4/view?usp=drive_link</t>
  </si>
  <si>
    <r>
      <rPr>
        <rFont val="Arial, sans-serif"/>
        <b/>
        <color rgb="FF3C78D8"/>
        <sz val="12.0"/>
        <u/>
      </rPr>
      <t>電話：07-559-9111
訂房專線：07-559-9168 
訂房電子信箱：reservations@khhmarriott.com
地址：高雄市鼓山區龍德新路222號
營業時間： 24小時
營業項目：住宿服務
優惠內容：適用臺灣大學</t>
    </r>
    <r>
      <rPr>
        <rFont val="Arial, sans-serif"/>
        <b/>
        <color rgb="FFB45F06"/>
        <sz val="12.0"/>
        <u/>
      </rPr>
      <t>在職教職員工</t>
    </r>
    <r>
      <rPr>
        <rFont val="Arial, sans-serif"/>
        <b/>
        <color rgb="FF3C78D8"/>
        <sz val="12.0"/>
        <u/>
      </rPr>
      <t>，訂房請使用</t>
    </r>
    <r>
      <rPr>
        <rFont val="Arial, sans-serif"/>
        <b/>
        <color rgb="FFB45F06"/>
        <sz val="12.0"/>
        <u/>
      </rPr>
      <t>臺大ntu電子信箱</t>
    </r>
    <r>
      <rPr>
        <rFont val="Arial, sans-serif"/>
        <b/>
        <color rgb="FF3C78D8"/>
        <sz val="12.0"/>
        <u/>
      </rPr>
      <t>聯繫，入住時憑臺大教職員證件享優惠價 
網站：https://www.khhmarriott.com/</t>
    </r>
  </si>
  <si>
    <r>
      <rPr>
        <rFont val="Arial, sans-serif"/>
        <b/>
        <sz val="12.0"/>
      </rPr>
      <t>電話：(02)2886-8888
地址：台北市中山區中山北路4段1號 
營業時間： 24小時
營業項目：住宿服務
優惠內容：臺大教職員工生及校友，預先訂房時請提供臺灣大學名稱及</t>
    </r>
    <r>
      <rPr>
        <rFont val="Arial, sans-serif"/>
        <b/>
        <color rgb="FF990000"/>
        <sz val="12.0"/>
      </rPr>
      <t>合約號碼C03734301</t>
    </r>
    <r>
      <rPr>
        <rFont val="Arial, sans-serif"/>
        <b/>
        <sz val="12.0"/>
      </rPr>
      <t>享優惠價
網站：https://grand-hotel.org/tw/official/main.aspx?gh=TP</t>
    </r>
  </si>
  <si>
    <t>https://drive.google.com/file/d/1TNDzvkC8cQv_uj_VWlifrJDLI8X--qOA/view?usp=drive_link</t>
  </si>
  <si>
    <t>虎尾春秋文創設計旅店</t>
  </si>
  <si>
    <t>https://drive.google.com/file/d/1XjrGIiTpQ7QRlHdlJMSArWFrzPSpEyBB/view?usp=drive_link</t>
  </si>
  <si>
    <t>電話：05-636-0618
地址：雲林縣虎尾鎮信義路69號
營業時間： 24小時
營業項目：住宿服務
網站：http://www.huweihotel.com.tw/
優惠內容：臺大教職員工、學生及校友於結帳時出示臺大識別證享優惠價，詳右列優惠連結</t>
  </si>
  <si>
    <t>https://drive.google.com/file/d/1SppYz0YPrzttOgb-yMX6SKN2HxllDJzr/view?usp=drive_link</t>
  </si>
  <si>
    <t>學生、校友、眷屬不適用</t>
  </si>
  <si>
    <r>
      <rPr>
        <rFont val="Arial"/>
        <b/>
        <color rgb="FF3C78D8"/>
        <sz val="12.0"/>
        <u/>
      </rPr>
      <t>電話：(02)2712-3456 
地址：台北市南京東路三段255號
訂房信箱：reservation@brotherhotel.com.tw
營業時間： 24小時
營業項目：住宿服務
優惠內容：臺大在職教職員工及在學學生，預先訂房時主動告知所屬身份或臺灣大學特約代碼《</t>
    </r>
    <r>
      <rPr>
        <rFont val="Arial"/>
        <b/>
        <color rgb="FF990000"/>
        <sz val="12.0"/>
        <u/>
      </rPr>
      <t>AJ536A 國立台灣大學</t>
    </r>
    <r>
      <rPr>
        <rFont val="Arial"/>
        <b/>
        <color rgb="FF3C78D8"/>
        <sz val="12.0"/>
        <u/>
      </rPr>
      <t xml:space="preserve">》，入住時憑臺大證件享優惠價(校友及眷屬不適用)
網站：http://www.brotherhotel.com.tw/ </t>
    </r>
  </si>
  <si>
    <t>台南大飯店</t>
  </si>
  <si>
    <t>臺中勤美洲際酒店</t>
  </si>
  <si>
    <t>https://drive.google.com/file/d/1XBlCXkRF2-rd0c3Ar2S0AzvuSBYCV2cz/view?usp=drive_link</t>
  </si>
  <si>
    <t>電話：06-2289101
訂房專線：06-2232857
訂房信箱：booking@hotel-tainan.com.tw
地址：台南市中西區成功路 1 號
營業時間： 24小時
營業項目：住宿服務
優惠內容：臺大教職員工生及校友，預先訂房時主動告知所屬身份，入住時憑臺大證件享優惠價
網站：https://www.hotel-tainan.com.tw/about/</t>
  </si>
  <si>
    <t>https://drive.google.com/file/d/1emmYP-lmQILyRu_mphPJPM5i3AAwP3GN/view?usp=drive_link</t>
  </si>
  <si>
    <t xml:space="preserve">訂房專線：04-2328-1268
地址：台中市西區館前路77號
訂房信箱：reservations@taichungic.com
網站：https://www.ihg.com/intercontinental/hotels/tw/zh/taichung/rmqtt/hoteldetail
優惠內容：訂房請洽專線或信箱，並主動說明為國立臺灣大學所屬身份(教職員工、學生、校友)，且於入住時出示識別證
</t>
  </si>
  <si>
    <t>校友、眷屬不適用</t>
  </si>
  <si>
    <t>Auto</t>
  </si>
  <si>
    <t>臺邦商旅</t>
  </si>
  <si>
    <t xml:space="preserve">
電話：(02)2704-5888 
地址：台北市大安區新生南路一段157巷10號
營業時間： 24小時
營業項目：住宿服務
優惠內容：臺大教職員工生及校友，預先訂房時主動告知所屬身份，入住時憑臺大證件享優惠價
網站：http://www.thecornerhouse.com.tw/
</t>
  </si>
  <si>
    <t>https://drive.google.com/file/d/1iekbG1E9PLexFcxyH7kYrIn9giOAVMiu/view?usp=drive_link</t>
  </si>
  <si>
    <t>https://drive.google.com/file/d/1jmQ49Ux0OMa1tnpqyHL7u8qtudTkd1pa/view?usp=drive_link</t>
  </si>
  <si>
    <t>電話：06-2931888
地址：台南市安平區永華二街199號
營業時間： 24小時
營業項目：住宿服務
優惠內容：臺大教職員工、學生及校友（含眷屬），預先訂房時主動告知所屬身份，入住時憑臺大證件享優惠價 
網站：https://www.taipungsuites.com.tw/</t>
  </si>
  <si>
    <t>https://drive.google.com/file/d/1H6D1HwnJG-tfKMRL9EVW7nO2CSujEe42/view?usp=drive_link</t>
  </si>
  <si>
    <t>捷絲旅-臺大尊賢館</t>
  </si>
  <si>
    <t>康橋商旅</t>
  </si>
  <si>
    <r>
      <rPr>
        <rFont val="Arial"/>
        <b/>
        <color rgb="FF3C78D8"/>
        <sz val="12.0"/>
        <u/>
      </rPr>
      <t xml:space="preserve">電話：(02)7735-5000   
地址：台北市大安區羅斯福路四段83號
營業時間：24小時
營業項目：住宿服務
優惠內容：臺大教職員工生及校友，預先訂房時主動告知所屬身份，入住時憑臺大證件享優惠價
網站：https://event.silkshotelgroup.com/Home/Justsleep
訂房中心信箱: rsvn@justsleephotels.com
</t>
    </r>
    <r>
      <rPr>
        <rFont val="Arial"/>
        <b/>
        <color rgb="FF990000"/>
        <sz val="12.0"/>
        <u/>
      </rPr>
      <t>臺大教職員工、學生及校友適用訂房專頁連結：https://reurl.cc/Eg5Evk，專案代碼NTUEX</t>
    </r>
    <r>
      <rPr>
        <rFont val="Arial"/>
        <b/>
        <color rgb="FF990000"/>
        <sz val="12.0"/>
      </rPr>
      <t xml:space="preserve">
</t>
    </r>
    <r>
      <rPr>
        <rFont val="Arial"/>
        <b/>
        <color rgb="FF3C78D8"/>
        <sz val="12.0"/>
      </rPr>
      <t xml:space="preserve">
</t>
    </r>
    <r>
      <rPr>
        <rFont val="Arial"/>
        <b/>
        <color rgb="FFB45F06"/>
        <sz val="12.0"/>
      </rPr>
      <t>臺大</t>
    </r>
    <r>
      <rPr>
        <rFont val="Arial"/>
        <b/>
        <color rgb="FFB45F06"/>
        <sz val="12.0"/>
        <u/>
      </rPr>
      <t>系所或相關單位代訂房，請以電話或e-mail訂房，並提供代訂系所加蓋系所章</t>
    </r>
  </si>
  <si>
    <r>
      <rPr>
        <rFont val="Arial, sans-serif"/>
        <b/>
        <color rgb="FF3C78D8"/>
        <sz val="20.0"/>
        <u/>
      </rPr>
      <t>台北旅店集團</t>
    </r>
    <r>
      <rPr>
        <rFont val="Arial, sans-serif"/>
        <b/>
        <color rgb="FF000000"/>
        <sz val="20.0"/>
      </rPr>
      <t xml:space="preserve">
(喜瑞飯店、丹迪旅店、新驛旅店</t>
    </r>
    <r>
      <rPr>
        <rFont val="Arial, sans-serif"/>
        <b/>
        <sz val="20.0"/>
      </rPr>
      <t>)</t>
    </r>
  </si>
  <si>
    <r>
      <rPr>
        <rFont val="Arial"/>
        <b/>
      </rPr>
      <t xml:space="preserve">電話：各分館資訊請詳見官網
地址：各分館資訊請詳見官網（彰化員林館、台南赤崁樓館、台南民生館、高雄站前館、高雄站東九如館、高雄中山八德館、高雄七賢館、高雄中正館、高雄三多商圈館、高雄光榮碼頭館、高雄漢神館、高雄衛武營館、高雄覺民館、高雄五甲館、台東館）
</t>
    </r>
    <r>
      <rPr>
        <rFont val="Arial"/>
        <b/>
        <color rgb="FF990000"/>
      </rPr>
      <t>訂房：各分館獨立作業，房價請洽各分館，入住請出示臺灣大學識別證，並告知臺大統編03734301</t>
    </r>
    <r>
      <rPr>
        <rFont val="Arial"/>
        <b/>
      </rPr>
      <t xml:space="preserve">
營業時間： 24小時
營業項目：住宿服務
網站： https://www.kindness-hotel.com.tw/</t>
    </r>
  </si>
  <si>
    <t>https://drive.google.com/file/d/1ToCD_naKa984j05n5D27PIyjGiyRT_gF/view?usp=drive_link</t>
  </si>
  <si>
    <t>https://drive.google.com/file/d/1xcHEQ7rl6MFSqC2KkesOwe-LDI6H_Cel/view?usp=drive_link</t>
  </si>
  <si>
    <t>期滿自動續約</t>
  </si>
  <si>
    <t>電話：各分館資訊請詳見官網
地址：各分館資訊請詳見官網(喜瑞飯店、丹迪旅店天津店、丹迪旅店大安森林公園店、丹迪旅店天母店、新驛旅店台北車站一館、新驛旅店台北車站二館、新驛旅店台北車站三館、新驛旅店西門店、新驛旅店復興北路店、新驛旅店台中車站店)
營業時間：24小時
營業項目：住宿服務
優惠內容：臺大教職員工生及校友，預先訂房時主動告知所屬身份，入住時憑臺大證件享優惠價</t>
  </si>
  <si>
    <t>洛碁飯店集團</t>
  </si>
  <si>
    <t>https://drive.google.com/file/d/1hQkuNvAh3lOaVUngsvyDi2tIDhJC69_D/view?usp=drive_link</t>
  </si>
  <si>
    <t xml:space="preserve">
電話：各分館資訊請詳見官網
地址：各分館資訊請詳見官網(南港館、松山館、忠孝館、南京館、建北館、三貝茲館、驛館、中華館、新仕界館、林森館、山水閣館、舞衣南京館、花華分館)
營業時間：24小時
營業項目：住宿服務
網站：https://greenworldhotels.com/</t>
  </si>
  <si>
    <t xml:space="preserve">非公開合約，訂房請洽專線或信箱
訂房專線：02-2531-2858
訂房信箱：reservation@gwh.global
來信或來電請告知為台大教職員工、學生、校友及眷屬，
入住時請出示臺大證件。
</t>
  </si>
  <si>
    <t xml:space="preserve">
電話：各分館資訊請詳見官網
地址：各分館資訊請詳見官網(台北南京、台北長安、台北松江、台北二店、台北一店、台北天津、台北林森、台北敦南、永和店、基隆店)
網站：http://www.khotel.com.tw/zh-TW/
營業時間：24小時
營業項目：住宿服務
優惠內容：臺大教職員工生及校友，預先訂房時主動告知所屬身份，入住時憑臺大證件享優惠價
</t>
  </si>
  <si>
    <t>https://drive.google.com/file/d/1BwYP7EeU4uuWqh_gvSOwJsa9DLfmA_im/view?usp=drive_link</t>
  </si>
  <si>
    <r>
      <rPr>
        <rFont val="Arial"/>
        <b/>
      </rPr>
      <t xml:space="preserve">電話：各分館資訊請詳見官網
地址：各分館資訊請詳見官網（彰化員林館、台南赤崁樓館、台南民生館、高雄站前館、高雄站東九如館、高雄中山八德館、高雄七賢館、高雄中正館、高雄三多商圈館、高雄光榮碼頭館、高雄漢神館、高雄衛武營館、高雄覺民館、高雄五甲館、台東館）
</t>
    </r>
    <r>
      <rPr>
        <rFont val="Arial"/>
        <b/>
        <color rgb="FF990000"/>
      </rPr>
      <t>訂房：各分館獨立作業，房價請洽各分館，入住請出示臺灣大學識別證，並告知臺大統編03734301</t>
    </r>
    <r>
      <rPr>
        <rFont val="Arial"/>
        <b/>
      </rPr>
      <t xml:space="preserve">
營業時間： 24小時
營業項目：住宿服務
網站： https://www.kindness-hotel.com.tw/</t>
    </r>
  </si>
  <si>
    <t>台北世聯商旅</t>
  </si>
  <si>
    <t>台中富信大飯店</t>
  </si>
  <si>
    <t xml:space="preserve">
電話：02-2562-6161
地址：台北市松江路90巷5號
網站：https://tp.linkworldhotel.com.tw/
營業時間：24小時
營業項目：住宿服務
優惠內容：臺大教職員工生及校友，需於訂房時主動告知臺灣大學之名稱，入住時憑證享優惠價。
</t>
  </si>
  <si>
    <t>https://drive.google.com/file/d/1rr2xuufUGSoT3ICqe3vvbY8Wiek5OKZd/view?usp=drive_link</t>
  </si>
  <si>
    <t>電話：04-2229-7008
地址：台中市中區市府路14號
營業時間： 24小時
營業項目：住宿服務
優惠內容：臺大教職員工生及校友，預先訂房時主動告知所屬身份，入住時憑臺大證件享優惠價
網站：https://www.fushin-hotel.com.tw/taichung/tw/</t>
  </si>
  <si>
    <t>https://drive.google.com/file/d/12U_Tiq5uQkmmeSv-HcOeeml-qpkr-Cab/view?usp=drive_link</t>
  </si>
  <si>
    <r>
      <rPr>
        <rFont val="Arial, sans-serif"/>
        <b/>
        <color rgb="FF3C78D8"/>
        <sz val="20.0"/>
        <u/>
      </rPr>
      <t xml:space="preserve">旅居文旅集團
</t>
    </r>
    <r>
      <rPr>
        <rFont val="Arial, sans-serif"/>
        <b/>
        <color rgb="FF000000"/>
        <sz val="20.0"/>
      </rPr>
      <t>-文旅、驛站、青旅膠囊旅店系列</t>
    </r>
    <r>
      <rPr>
        <rFont val="Arial, sans-serif"/>
        <b/>
        <color rgb="FF3C78D8"/>
        <sz val="20.0"/>
        <u/>
      </rPr>
      <t xml:space="preserve">
</t>
    </r>
  </si>
  <si>
    <t>電話：各分館資訊請詳見官網
地址：各分館資訊請詳見官網
旅居文旅系列：松山機場館、中山館、板橋車站館、土城館、中壢館、亞灣館、一心館、七賢館、台中文心館、新泰館
旅居驛站系列：西門驛站-西寧館、西門驛站-昆明館、松山驛站、板橋驛站-湳雅夜市館、板橋驛站-亞東館
台灣青旅膠囊旅店：台灣青旅膠囊旅店
營業時間：24小時
營業項目：住宿服務
優惠內容：臺大教職員工、學生、校友及眷屬，需於訂房時主動告知臺灣大學之名稱，入住時憑臺大證件享優惠價。</t>
  </si>
  <si>
    <r>
      <rPr>
        <rFont val="Arial, sans-serif"/>
        <b/>
        <color rgb="FF3C78D8"/>
        <sz val="12.0"/>
        <u/>
      </rPr>
      <t xml:space="preserve">訂房步驟:
</t>
    </r>
    <r>
      <rPr>
        <rFont val="Arial, sans-serif"/>
        <b/>
        <color rgb="FF990000"/>
        <sz val="12.0"/>
        <u/>
      </rPr>
      <t>企業客戶部訂房LINE ID：@hubhotels</t>
    </r>
    <r>
      <rPr>
        <rFont val="Arial, sans-serif"/>
        <b/>
        <color rgb="FF3C78D8"/>
        <sz val="12.0"/>
        <u/>
      </rPr>
      <t xml:space="preserve">
加好友連結：https://lin.ee/C0OQzZ
請註明：公司名稱&amp;統編、預訂館別、預訂日期&amp;退房日期、入住房型
由企業客戶部顧襄理 Tommy 專人提供即時報價
透過企業客戶訂房，除享訂房優惠，指定館店再享高鐵優惠折扣。
適用館別：旅居文旅 台北松山機場館／板橋車站館／中壢館／高雄亞灣館
高鐵車票優惠折扣：
▪️ 平日（週一至週四）：78 折
▪️ 假日（週五至週日及疏運期間）：85 折
</t>
    </r>
  </si>
  <si>
    <t>相鐵飯店GRAND FRESA 
台北西門</t>
  </si>
  <si>
    <t xml:space="preserve">電話： 02-2331-6203 
地址：台北市中正區中華路一段 57 號 
營業時間： 24 小時 
營業項目：住宿服務 
網站： https://sotetsu-hotels.com/tw/grand-fresa/taipeiximen/ </t>
  </si>
  <si>
    <t>非公開合約，訂房請洽專線或信箱，
臺大教職員工、學生、校友及眷屬，預先訂房時主動告知所屬身份，入住時憑臺大證件享優惠價 
訂房專線：02-2331-6203
訂房信箱： gf_taipeiximen@sotetsu-group.jp</t>
  </si>
  <si>
    <r>
      <rPr>
        <rFont val="Arial, sans-serif"/>
        <b/>
        <color rgb="FF3C78D8"/>
        <sz val="20.0"/>
        <u/>
      </rPr>
      <t>台北旅店集團</t>
    </r>
    <r>
      <rPr>
        <rFont val="Arial, sans-serif"/>
        <b/>
        <color rgb="FF000000"/>
        <sz val="20.0"/>
      </rPr>
      <t xml:space="preserve">
-喜瑞飯店、丹迪旅店、新驛旅店</t>
    </r>
    <r>
      <rPr>
        <rFont val="Arial, sans-serif"/>
        <b/>
        <sz val="20.0"/>
      </rPr>
      <t>)</t>
    </r>
  </si>
  <si>
    <t>台北馥敦-復南館</t>
  </si>
  <si>
    <t>電話：02-2705-6161
地址：台北市大安區復興南路2段41號
營業時間： 24小時
營業項目：住宿服務
優惠內容：臺大教職員工生及校友 (眷屬/親朋好友亦可)，
以台灣大學名義訂房享住宿優惠。 (預先訂房時主動告知所屬身份)
網站：http://www.taipeifullerton.com.tw/south/</t>
  </si>
  <si>
    <t>https://drive.google.com/file/d/1Xqfh-Vz_IXqAf2d_RhKMTALX0Z4FOqN9/view?usp=drive_link</t>
  </si>
  <si>
    <t>Hanns Summer 
瀚寓夏天</t>
  </si>
  <si>
    <t xml:space="preserve">電話：(02)7755-7747 
地址：台北市中正區汀洲路三段62 號 
營業時間：24小時
營業項目：住宿服務
優惠內容：臺大教職員工生及校友，預先訂房時主動告知所屬身份，即可享合約優惠價
網站：https://www.hannssummer.com/about-hanns-summer/
酒店無附設停車場，配合的特約停車場資訊如下：
禮客outlet (台北市中正區思源街16號) 
限高：200公分
費用：NT$350
停車優惠時段：入住當天中午12點後至隔天中午12點前，停車優惠期間可無限次進出，辦理入住手續時需主動告知車號以便享有優惠價，若未告知車號則需依停車場當天費率計算
</t>
  </si>
  <si>
    <t>https://drive.google.com/file/d/1N-rBCyvtSwcg_zBKsw-fdoDCNdo8KhKH/view?usp=drive_link</t>
  </si>
  <si>
    <t>Hanns House
瀚寓酒店</t>
  </si>
  <si>
    <t>電話：(02)8758-3777 
地址：台北市信義區基隆路一段206號 
營業時間：24小時
營業項目：住宿服務
優惠內容：臺大教職員工生及校友，預先訂房時主動告知所屬身份，即可享合約優惠價</t>
  </si>
  <si>
    <t>https://drive.google.com/file/d/1q5o_DiT3uyWPnRgXiKJ8cjZSseXVzXcJ/view?usp=drive_link</t>
  </si>
  <si>
    <t>新莊凱悅嘉軒酒店</t>
  </si>
  <si>
    <t>電話：(02) 8522-9980
地址：台北市新莊區新北大道三段79號
營業時間：24小時
營業項目：住宿服務
網站：https://www.hyatt.com/hyatt-place/zh-HK/tpezn-hyatt-place-new-taipei-city-xinzhuang
優惠內容：臺大教職員工生及校友，歡迎透過新莊凱悅嘉軒酒店官網Hyatt-place-new-taipei-city-xinzhuang 於特惠房價下拉式選單中選擇「公司或團體編號」，輸入7位數字合約代碼CR#(1032494)進行預訂。</t>
  </si>
  <si>
    <t>https://drive.google.com/file/d/1V_c9XNWR6XzzMF0XPAqIPMj3IpaCNCjF/view?usp=drive_link</t>
  </si>
  <si>
    <r>
      <rPr>
        <rFont val="Arial"/>
        <b/>
        <color rgb="FF3C78D8"/>
        <sz val="20.0"/>
        <u/>
      </rPr>
      <t xml:space="preserve">
</t>
    </r>
    <r>
      <rPr>
        <rFont val="Arial"/>
        <b/>
        <color rgb="FF3C78D8"/>
        <sz val="20.0"/>
        <u/>
      </rPr>
      <t>臺大徐州路文教會館
-梧邸酒店台北杭州</t>
    </r>
  </si>
  <si>
    <t xml:space="preserve">徐州路會館BOT案導入ESG永續及綠建築規劃，全館計73間房，鄰近臺北捷運善導寺站，以「雀客旅館台北杭州」名稱對外營運，現有標準、高級、豪華客房、行政套房(含無障礙房型)等房型，屬「國民旅遊卡」特約商店，該會館優先提供教學、實習、檢定、考試、研究、會議、學術交流、展演、參訪、體育競技及其他具教育意涵之活動與服務之人員住宿及餐飲交流。
電話：02-2393-3598
地址：台北市中正區杭州南路一段12號
營業時間：24小時
營業項目：住宿服務
會館網站：ood-hotel.com
管理單位：臺大總務處-經營管理組
</t>
  </si>
  <si>
    <t xml:space="preserve">適用本校教職員工生及其他所屬人員(不含退休人員、校友)， 
退休人員、校友憑證(憑本校提供證件樣張)使用住宿設施，享官網基本方案9折優惠
115 年臺灣大學專屬房價表:不含早餐(早餐憑證加購 享 9 折優惠)
房型           平日        假日         旺日
標準客房  $2,500    $4,100     $5,200
豪華客房  $3,200    $5,200     $6,300
平假日定義表:
平日(白底) 日到四
假日(桃紅底) 五六/連假/春節
旺日(黃底) 演唱會/展期&gt;&gt; 依照展期演唱會發布, 不定期調整。
訂房請按此連結:https://ood-hotel.hexa.tw/hexa/booking?start=2026-01-14&amp;end=2026-01-15&amp;adults=2&amp;children=0&amp;room=1&amp;is_user=true&amp;tab=roomsEl&amp;duration=1 (臺大訂房專案)
</t>
  </si>
  <si>
    <t xml:space="preserve">
電話：各分館資訊請詳見官網
地址：各分館資訊請詳見官網(台北一館、台北二館、桃園、桃園機場捷運A8、高雄、淡水漁人碼頭、福隆(旅館區)、福隆貝悅(VILLA區)、花蓮、林口、中壢、水里、高雄、墾丁、澎湖) 
營業時間： 24小時
營業項目：住宿服務
優惠內容：臺大教職員工生及校友，預先訂房時主動告知所屬身份，並提供本校統編：03734301，入住時憑臺大證件享優惠價
網站：http://www.fullon-hotels.com.tw/ 
</t>
  </si>
  <si>
    <t>娜路彎大酒店</t>
  </si>
  <si>
    <t>電話：089－239－666
地址：台東市連航路66號
優惠內容：臺大教職員工生及校友，預先訂房時主動告知所屬身份，並提供本校統編：03734301，入住時憑臺大證件享優惠價
營業時間： 24小時
營業項目：住宿服務
網站：https://www.naruwan-hotel.com.tw/tw_new/hotel-main.html</t>
  </si>
  <si>
    <t>https://drive.google.com/file/d/1myB_itnxPWrZ67axsbDj1-1RScCUWZ7s/view?usp=drive_link</t>
  </si>
  <si>
    <t>娜路彎會館</t>
  </si>
  <si>
    <t>電話：089－235－500
地址：台東市中興路二段 385 號
優惠內容：臺大教職員工生及校友，預先訂房時主動告知所屬身份，並提供本校統編：03734301，入住時憑臺大證件享優惠價
營業時間： 24小時
營業項目：住宿服務
網站：https://www.naruwan-inn.com.tw/New/tw_new/hotel-main.html</t>
  </si>
  <si>
    <t>2026優惠內容同上(娜路彎大酒店)</t>
  </si>
  <si>
    <t>娜路彎花園酒店</t>
  </si>
  <si>
    <t>電話：089-231111
地址：台東市新興路77號
優惠內容：臺大教職員工生及校友，預先訂房時主動告知所屬身份，並提供本校統編：03734301，入住時憑臺大證件享優惠價
營業時間： 24小時
營業項目：住宿服務
網站：https://www.naruwan-garden.com.tw/New/tw_new/hotel-main.html</t>
  </si>
  <si>
    <t>娜路彎銀河行館</t>
  </si>
  <si>
    <t>電話：089-383366
地址：台東市豐興路 88 號
營業時間： 24小時
營業項目：住宿服務
優惠內容：臺大教職員工生及校友，預先訂房時主動告知所屬身份，並提供本校統編：03734301，入住時憑臺大證件享優惠價
網站：https://www.naruwan-galaxy-place.com.tw/New/tw_new/hotel-main.html</t>
  </si>
  <si>
    <t>頭城農場-頭城休閒旅館</t>
  </si>
  <si>
    <t>電話：(03) 9772-222
地址：宜蘭縣頭城鎮更新路125-2號
營業時間： 24小時
營業項目：住宿服務
優惠內容：
1.憑本人工作證明及本人名片，本人享有六折優惠
2.同行者享八折優惠
3.一張證件一次最多可訂三間
4.本優惠專案：限週一~四使用，連續假日與暑假期間(七~八月)不適用
網站：https://www.tcfarm.com.tw/</t>
  </si>
  <si>
    <t>https://drive.google.com/file/d/1_StyoaGs0CyTY1dHmjGucLOaNbaiECuL/view?usp=sharing</t>
  </si>
  <si>
    <r>
      <rPr>
        <rFont val="Arial"/>
        <b/>
      </rPr>
      <t xml:space="preserve">電話：各分館資訊請詳見官網
地址：各分館資訊請詳見官網（彰化員林館、台南赤崁樓館、台南民生館、高雄站前館、高雄站東九如館、高雄中山八德館、高雄七賢館、高雄中正館、高雄三多商圈館、高雄光榮碼頭館、高雄漢神館、高雄衛武營館、高雄覺民館、高雄五甲館、台東館）
</t>
    </r>
    <r>
      <rPr>
        <rFont val="Arial"/>
        <b/>
        <color rgb="FF990000"/>
      </rPr>
      <t>訂房：各分館獨立作業，房價請洽各分館，入住請出示臺灣大學識別證，並告知臺大統編03734301</t>
    </r>
    <r>
      <rPr>
        <rFont val="Arial"/>
        <b/>
      </rPr>
      <t xml:space="preserve">
營業時間： 24小時
營業項目：住宿服務
網站： https://www.kindness-hotel.com.tw/</t>
    </r>
  </si>
  <si>
    <t>中華航空</t>
  </si>
  <si>
    <r>
      <rPr>
        <rFont val="Arial"/>
        <b/>
        <color rgb="FF3C78D8"/>
        <u/>
      </rPr>
      <t>中華航空線上購票
購票時輸入企業會員帳號TW003802
企業會員優惠折扣不可與其他促銷票價併用
按 搜尋航班 後，</t>
    </r>
    <r>
      <rPr>
        <rFont val="Arial"/>
        <b/>
        <color rgb="FF660000"/>
        <u/>
      </rPr>
      <t>呈現之價格均為最優惠票價</t>
    </r>
    <r>
      <rPr>
        <rFont val="Arial"/>
        <b/>
        <color rgb="FF3C78D8"/>
        <u/>
      </rPr>
      <t xml:space="preserve">
</t>
    </r>
  </si>
  <si>
    <r>
      <rPr>
        <rFont val="Arial"/>
        <b/>
        <color rgb="FF3C78D8"/>
      </rPr>
      <t xml:space="preserve">
</t>
    </r>
    <r>
      <rPr>
        <rFont val="Arial"/>
        <b/>
        <color rgb="FF3C78D8"/>
        <u/>
      </rPr>
      <t xml:space="preserve">中華航空-航班及優惠訊息
臺大企業會員帳號：TW003802
線上購票優惠：輸入企業會員帳號TW003802購買機票享優惠 </t>
    </r>
    <r>
      <rPr>
        <rFont val="Arial"/>
        <b/>
        <color rgb="FF3C78D8"/>
        <sz val="14.0"/>
        <u/>
      </rPr>
      <t>97折</t>
    </r>
    <r>
      <rPr>
        <rFont val="Arial"/>
        <b/>
        <color rgb="FF3C78D8"/>
      </rPr>
      <t xml:space="preserve"> ( </t>
    </r>
    <r>
      <rPr>
        <rFont val="Arial"/>
        <b/>
        <color rgb="FF3C78D8"/>
        <u/>
      </rPr>
      <t xml:space="preserve">限定由臺灣出發之機票，非臺灣出發則無優惠。)
並可累積機票淨額，回饋免費機票補助本校清寒學生
(本優惠僅限本校教職員工、學生、 校友使用，航空公司將不定期檢核票務資訊，若經查證非本校身分別使用，航空公司有權調整其違規者會員權利。)
</t>
    </r>
  </si>
  <si>
    <t>-</t>
  </si>
  <si>
    <t>長榮航空</t>
  </si>
  <si>
    <t>長榮航空線上購票</t>
  </si>
  <si>
    <t>長榮航空-航班相關訊息
臺大企業會員TPE2088
目前無優惠折扣，惟由&lt;旅行社訂購團體票&gt;，並輸入臺大企業會員TPE2088，可累積機票淨額，並回饋免費機票補助本校清寒學生</t>
  </si>
  <si>
    <t>台灣高鐵</t>
  </si>
  <si>
    <t>目前購買高鐵車票無優惠折扣，惟於各購票通路購票時，告知或輸入臺大企業會員統編(03734301)可累計全校旅費，並依累積狀況回饋乘車優惠券予本校國內清寒學生。
(早鳥65折(含以下)優惠專案、大學生優惠、少年優惠短期專案、享有其他特殊優惠之團體專案(如:指定車次團體或校外教學)；高鐵假期、各式聯套票、敬老/愛心/孩童票、回數/定期票、企業會員優惠專案及持悠遊聯名卡、一卡通感應以上搭乘者皆無法累計)
詳細內容請參閱高鐵企業會員網站---點選企業會員 https://www.thsrc.com.tw/ArticleContent/b8cedefe-62fa-459e-9d1e-aac0e0f754a2</t>
  </si>
  <si>
    <t>N/A</t>
  </si>
  <si>
    <t>山富旅遊</t>
  </si>
  <si>
    <t>山富旅遊(https://www.travel4u.com.tw/)
設定企業會員步驟及登入
申請之會員帳號須為臺大@ntu.edu.tw的信箱</t>
  </si>
  <si>
    <t>https://drive.google.com/file/d/1pl0k93gkXEtuWPwihDHShFjz4I_xLMDG/view?usp=sharing</t>
  </si>
  <si>
    <t>客服專線：0800-221881
電話：各門市資訊請詳見官網(全台北中南共13家門市)
地址：各門市資訊請詳見官網(全台北中南共13家門市)
營業項目：海鮮、魚類販售
網站：http://www.mamafisch.com.tw/</t>
  </si>
  <si>
    <t>臺大教職員工生及校友至全省門市消費，憑臺大證件享95折起
(代理商品及季節特殊商品除外)</t>
  </si>
  <si>
    <t>電話：02-2732-9186 (杏一管理中心)
地址：106 台北市大安區基隆路三段155巷57號 
營業項目：餐飲服務
網站：http://www.ntucc.gov.tw/ntucc/Fpage.action?muid=134&amp;fid=93
管理單位：臺大癌醫中心醫院 (02)2322-0322</t>
  </si>
  <si>
    <t>臺大教職員工生憑識別證 9折 優惠</t>
  </si>
  <si>
    <t>潮味決-台北公館店</t>
  </si>
  <si>
    <t>電話：(02)2368-2737
地址：台北市中正區羅斯福路三段284巷8號1樓（北側）</t>
  </si>
  <si>
    <t xml:space="preserve">●        凡單碗消費滿150元，出示臺大識別證件，即可免費兌換下列商品 五 擇 一：
          ---麻辣豆腐、麻辣鴨血、潮滷/麻辣魚板、三杯/潮滷/麻辣魚蛋、時蔬
●        上述優惠不得與其他優惠方式合併使用
</t>
  </si>
  <si>
    <t>WOW 美食休閒網</t>
  </si>
  <si>
    <t>WOW美食休閒網與多家特約商店合作，享有各類美食餐廳、休閒娛樂、消費購物、交通運輸、美容美髮、教育學習、電影院、KTV、美髮美容、運動用品、精品服飾等折扣優惠。
下載APP 請搜尋: &lt;WOWCARD 哇卡好&gt;
客服中心
電話：04-2251-8770
傳真：04-2251-5007
客服信箱:dot@isys.tw</t>
  </si>
  <si>
    <r>
      <rPr>
        <rFont val="Arial"/>
        <b/>
        <sz val="12.0"/>
      </rPr>
      <t>請至「WOW美食休閒網」瀏覽商店完整優惠消費資訊
臺大教職員工、學生、校友及眷屬，以手機出示 「WOW美食休閒網驚喜卡」即可享特別優惠。
請將臺大識別證拍照或掃描，Email至臺大財務管理處-公務信箱</t>
    </r>
    <r>
      <rPr>
        <rFont val="Arial"/>
        <b/>
        <color rgb="FF980000"/>
        <sz val="12.0"/>
      </rPr>
      <t>ntufinance@ntu.edu.tw</t>
    </r>
    <r>
      <rPr>
        <rFont val="Arial"/>
        <b/>
        <sz val="12.0"/>
      </rPr>
      <t>，
信件主旨註明：</t>
    </r>
    <r>
      <rPr>
        <rFont val="Arial"/>
        <b/>
        <color rgb="FF980000"/>
        <sz val="12.0"/>
      </rPr>
      <t>索取 「WOW美食休閒網驚喜卡」</t>
    </r>
    <r>
      <rPr>
        <rFont val="Arial"/>
        <b/>
        <sz val="12.0"/>
      </rPr>
      <t>，財務處即提供1組序號
供手機下載APP後開通使用。
註：WOW美食休閒網所合作店家，部分可能與臺大單獨簽約店家重覆，敬請自行比價後擇優使用。</t>
    </r>
  </si>
  <si>
    <r>
      <rPr>
        <rFont val="Arial"/>
        <b/>
        <color rgb="FF000000"/>
        <sz val="12.0"/>
      </rPr>
      <t>一個序號綁定一支手機，序號使用效期自</t>
    </r>
    <r>
      <rPr>
        <rFont val="Arial"/>
        <b/>
        <color rgb="FF990000"/>
        <sz val="12.0"/>
      </rPr>
      <t>開通起算二年</t>
    </r>
    <r>
      <rPr>
        <rFont val="Arial"/>
        <b/>
        <color rgb="FF000000"/>
        <sz val="12.0"/>
      </rPr>
      <t xml:space="preserve">，若中途有更換手機或使用相關問題，麻煩提供註冊帳號給客服04-2251-8770重置. </t>
    </r>
  </si>
  <si>
    <t>TARTINE唐緹
公館店</t>
  </si>
  <si>
    <t xml:space="preserve">聯絡電話：（02）2428 1598
門市地址：台北市中正區羅斯福路四段6號
　　　　　近捷運公館站4號出口
營業時間：每週一至日09:30-21:30
</t>
  </si>
  <si>
    <t>憑臺大識別證至「唐緹公館店」消費享售價9折優惠
優惠商品:麵包、西點、中點、蛋糕、伴手禮、現場製作飲品等品項
(限門市現場自取)
備註：
此優惠不適用下列商品:大宗訂單、茶會、餐盒、喜餅、彌月、特價品、外製品、外送、宅配等</t>
  </si>
  <si>
    <t>六六茶室</t>
  </si>
  <si>
    <t xml:space="preserve">
電話：0905 016 802
地址：台北市中山區龍江路155巷5號
電子信箱：jingcs0307@gmail.com
營業項目：現泡台灣原葉茶飲（內用／外帶）-茶套餐品茗體驗（含茶點）-每月主題式茶會與講座活-花藝、茶文化體驗課程-泡茶師桌邊服務（預約制）（中/英/日）-空間租借（茶席、攝影、活動）-茶禮盒訂製與企業贈禮規劃</t>
  </si>
  <si>
    <t>憑有效 台大NTU 身分（學生證 / 教職員工證 / 校友證 (含眷屬證 ）
1.全店茶葉茶具及內用9折
2.自辦講座與茶會費用 : 與六六社群內同價
3.首次來店加入並六六Line群 : 招待精品茶茶點一份
4.團體/系學會包場（10人內）: 總價9 折含稅，並贈送每人茶點一份
5.(特別加碼)週一～週四9:30–17:00 內用品茗或是包場活動 : 88 折,與早鳥時段優惠擇一使用</t>
  </si>
  <si>
    <t>怪咖屋
THE WACKO HOUSE</t>
  </si>
  <si>
    <t>電話：02 2365 0119
地址：台北市中正區師大路 164 號</t>
  </si>
  <si>
    <r>
      <rPr>
        <rFont val="Arial, sans-serif"/>
        <b/>
        <color rgb="FF3C78D8"/>
        <sz val="12.0"/>
        <u/>
      </rPr>
      <t>憑臺大識別憑證至本店用餐，提供以下優惠：</t>
    </r>
    <r>
      <rPr>
        <rFont val="Arial, sans-serif"/>
        <b/>
        <color rgb="FF000000"/>
        <sz val="12.0"/>
      </rPr>
      <t xml:space="preserve">
 1、早午餐 全部餐飲之商品定價給予九折之優惠價格，服務費另計 。
 2、不限平日或假日。
 3、不限內用或外帶。
 4、本優惠內容不適用外送及晚間酒吧 。
 5、若有任何優惠內容之調整或產品價格之變動，以店內</t>
    </r>
    <r>
      <rPr>
        <rFont val="Arial, sans-serif"/>
        <b/>
        <sz val="12.0"/>
      </rPr>
      <t>報價公布為主。</t>
    </r>
  </si>
  <si>
    <t>于記杏仁</t>
  </si>
  <si>
    <t>營業項目：杏仁甜品專賣店
客服電話：0800-288-758
網站：http://yustofu.com.tw
全台各門市(地址/電話/營業時間)：請詳見官網</t>
  </si>
  <si>
    <t>結帳時出示臺大員工識別證
 提供優惠內容如下：以下優惠二擇一 ( 符合外送規範亦享有以上優惠)
 ( 1 ) 結帳享 95 折優惠價 ( 不得與店櫃現有優惠併行 ) 
 ( 2 ) 同品項餐點買十送一</t>
  </si>
  <si>
    <t>樂田麵包屋
台電大樓店</t>
  </si>
  <si>
    <t>電話：02-23621299
地址：臺北市大安區羅斯福路三段249號</t>
  </si>
  <si>
    <t xml:space="preserve">結帳時出示臺大員工識別證
1. 全品項享9折優惠(不含線上預訂自取、外送、宅配、早餐三明治、晚安優惠品及外購品)。
2. 本優惠不得與其他優惠活動併用。
3. 甲方保有活動內容調整及最終解釋之權利。
</t>
  </si>
  <si>
    <t>東森得易購股份有限公司</t>
  </si>
  <si>
    <t>營業項目：網路購物
網站 : http://www.etmall.com.tw
連絡人：周彭升蔚
連絡電話(02)2943-7888 #5142</t>
  </si>
  <si>
    <t xml:space="preserve">東森購物客服專線0800-057-999
本校教職員手機登入/註冊成為東森購物會員（www.etmall.com.tw）
登入後於APP右下角進入會員專區→帳號管理→企業福委專區
於企業福委專區所顯示的三個欄位輸入專屬企業代碼『03734301』(臺灣大學統編)
完成綁定後立即贈送100枚東森E幣，且可消費正價商品享有企業福利價(全站商品85折起，部分商品除外)。
</t>
  </si>
  <si>
    <t>台灣大哥大</t>
  </si>
  <si>
    <t xml:space="preserve">客服電話：0809-000-809
營業項目：通訊與手機等
台灣大哥大－中小企業事業專員
葉子瑀小姐
Tel: 02-6638-6888#10322
Mobile: 0958-226-107
E-mail : ziyuyeh@taiwanmobile.com
</t>
  </si>
  <si>
    <r>
      <rPr>
        <rFont val="Arial"/>
        <b/>
        <color rgb="FF3C78D8"/>
        <sz val="12.0"/>
      </rPr>
      <t xml:space="preserve">
</t>
    </r>
    <r>
      <rPr>
        <rFont val="Arial"/>
        <b/>
        <color rgb="FF3C78D8"/>
        <sz val="12.0"/>
        <u/>
      </rPr>
      <t>不定期優惠專案 (限教職員工/員眷一等親、二等親)，依專案說明。
申辦時請輸入統編03734301</t>
    </r>
    <r>
      <rPr>
        <rFont val="Arial"/>
        <b/>
        <color rgb="FF3C78D8"/>
        <sz val="12.0"/>
        <u/>
      </rPr>
      <t xml:space="preserve">
</t>
    </r>
  </si>
  <si>
    <t>LEECO禮客
Outlet公館店</t>
  </si>
  <si>
    <t>網站：http://www.leecooutlet.com.tw/index.php
聯絡人：黃世豪
客服電話：02 2362 5556
地址：台北市中正區思源街16號(自來水園區正對面)</t>
  </si>
  <si>
    <t>持台大教職員工生(含校友)證件，全面95折(部分商品除外)</t>
  </si>
  <si>
    <t>東元電機股份有限公司</t>
  </si>
  <si>
    <t xml:space="preserve">東元家電和空調產品，請參考dm。
如要訂購家電或空調品，請先E-MAIL或來電查詢庫存量和諮詢訂購冷氣大小，歡迎聯繫以下窗口:
東元集團關係企業-安悅電氣 (安悅國際有限公司)
鍾昌珮 02-2655-3333 #3243
mandy@ejoy.net.tw
</t>
  </si>
  <si>
    <t xml:space="preserve">東元家電產品: 限量優惠。 
 1.家電EDM提供優惠價格，有包含運費和樓層費(偏遠地區運費除外) ，大型家電有包含基本安裝，可宅配到府。 
 2.已提供優惠價需事先匯款，如要訂購請寫e-mail給窗口，
   會提供匯款帳號給您，收到款項後會安排出貨，謝謝!
空調產品 
1.一對一頂級變頻HS8空調 (需先匯款)
2.一對一精品變頻GA5空調 (需先匯款)
(1)優惠價請參考EDM。
(2)如要訂購，已提供優惠價需事先匯款，
公司收到款項才後會安排出貨和基本安裝。
</t>
  </si>
  <si>
    <t>foodpanda
富胖達</t>
  </si>
  <si>
    <t>更多優惠資訊趕快加入Line官方帳號 @foodpanda4b
【foodpanda 企業貴賓平台申請書】foodpanda Corporate Application
https://forms.gle/am3rtbBYFu8ECT9G9
需要協助，請洽02-2736-1278 #16155   cherry小姐</t>
  </si>
  <si>
    <t>🎊foodpanda x NTU 企業客戶優惠方案🎊
 【如何升級foodpanda企業帳號？】
 企業帳號是免費升級的!!! 現在升級再送免運券~
 升級企業帳號後，可以隨時在網頁/APP中切換個人帳號 / 企業帳號使用，不僅可享有一般個人帳號的優惠，我們也會針對企業用戶推出不定期的優惠活動哦~
 速速前往升級 https://forms.gle/am3rtbBYFu8ECT9G9
 記得加入專屬Line官方帳號 @foodpanda4b 完成升級領取《NTU專屬神秘禮》~~
 【如果你是外送控？】
 外送重度依賴者凡開通企業帳號並訂閱panda pro，還有拿不完的企客優惠🎉
 趕快至官方Line帳號(@foodpanda4b)索取《企客專案價》
 【部門訂餐特方便】
 貼心提醒: 升級企業帳號還可享有以下服務
 1. 可提前7天預訂美食並使用團購功能
 2. 一站式服務 (從配餐到結帳；主食到零食全部交給我們幫忙~)
 3. 訂單優先處理權(小幫手在line上可隨時服務您)
 4. 企業外燴配餐、商務會議訂餐、零食配送服務 (零食櫃、慶生會、Parties、Team Building讓foodpanda送~~~)
 5. 電子優惠碼(檔期活動、業務獎勵、尾牙/春酒抽獎、送禮兩相宜)</t>
  </si>
  <si>
    <t>新北市私立
永和耕莘托嬰中心</t>
  </si>
  <si>
    <t xml:space="preserve">本校在職之教職員工生憑證件上有《國立臺灣大學》字樣之識別證享下列優惠：
1.托育費用之優惠：月費 95 折
2.托兒服務之優惠：（具體優惠項目以實際提供為準）
3.其他優惠：贈送書包、永和耕莘醫院醫療優惠(具體優惠項目以實際提供為準)
</t>
  </si>
  <si>
    <t>霍華斯 (Wordvice Inc.)</t>
  </si>
  <si>
    <t xml:space="preserve">電話：02-7738-1133
LINE：@wordvicetw
營業項目：英文編修/翻譯服務
網站：https://wordvice.com.tw/ 
臉書專頁：https://www.facebook.com/wordvicetaiwan/ 
</t>
  </si>
  <si>
    <t xml:space="preserve">優惠內容：
📌教職員工生及校友透過 Wordvice 台灣官網（https://wordvice.com.tw/）上傳文件，提交訂單時，於結帳畫面最上方優惠券欄位輸入優惠代碼「NTU20」，可享英文編修/中翻英服務 8折 優惠。
📌付款方式：信用卡、Paypal
🔹註：本折扣不得與其他優惠併用，霍華斯保留優惠解釋權力。
</t>
  </si>
  <si>
    <t>美艾聯和股份有限公司 (NJE)</t>
  </si>
  <si>
    <r>
      <rPr>
        <rFont val="Arial"/>
        <b/>
        <sz val="12.0"/>
      </rPr>
      <t>電話：02-2219-4719
營業項目：英文編修/翻譯服務
網站：</t>
    </r>
    <r>
      <rPr>
        <rFont val="Arial"/>
        <b/>
        <color rgb="FF3C78D8"/>
        <sz val="12.0"/>
        <u/>
      </rPr>
      <t>https://www.novaisedit.com/</t>
    </r>
  </si>
  <si>
    <r>
      <rPr>
        <rFont val="Arial"/>
        <b/>
        <color rgb="FF000000"/>
        <sz val="12.0"/>
      </rPr>
      <t>優惠內容：</t>
    </r>
    <r>
      <rPr>
        <rFont val="Arial"/>
        <b/>
        <color rgb="FF3C78D8"/>
        <sz val="12.0"/>
        <u/>
      </rPr>
      <t>教職員工生及校友透過NJE官網上傳文件並主動提供折價券編號(NJEPRO106)
，可享英文編修、學術翻譯 95折。</t>
    </r>
    <r>
      <rPr>
        <rFont val="Arial"/>
        <b/>
        <color rgb="FF000000"/>
        <sz val="12.0"/>
      </rPr>
      <t xml:space="preserve">
 註：本折扣不得與NJE例行折扣併用，NJE保留優惠解釋權力。</t>
    </r>
  </si>
  <si>
    <t>E</t>
  </si>
  <si>
    <t>FedEx聯邦快遞</t>
  </si>
  <si>
    <r>
      <rPr>
        <rFont val="Arial"/>
        <b/>
        <sz val="12.0"/>
      </rPr>
      <t xml:space="preserve">
網站：</t>
    </r>
    <r>
      <rPr>
        <rFont val="Arial"/>
        <b/>
        <color rgb="FF0563C1"/>
        <sz val="12.0"/>
        <u/>
      </rPr>
      <t>https://www.fedex.com/zh-tw/campaign/getstarted.html</t>
    </r>
    <r>
      <rPr>
        <rFont val="Arial"/>
        <b/>
        <sz val="12.0"/>
      </rPr>
      <t xml:space="preserve">
營業項目：進出口國際快遞文件或包裹,快速送達歐美及亞洲各大城市</t>
    </r>
  </si>
  <si>
    <r>
      <rPr>
        <rFont val="Arial"/>
        <b/>
        <color rgb="FF000000"/>
        <sz val="12.0"/>
      </rPr>
      <t>優惠內容：</t>
    </r>
    <r>
      <rPr>
        <rFont val="Arial"/>
        <b/>
        <color rgb="FF0563C1"/>
        <sz val="12.0"/>
        <u/>
      </rPr>
      <t>臺灣大學所屬研究機關及科室單位填寫申請書開立FedEx新帳號即享有7折特惠方案</t>
    </r>
    <r>
      <rPr>
        <rFont val="Arial"/>
        <b/>
        <color rgb="FF000000"/>
        <sz val="12.0"/>
      </rPr>
      <t xml:space="preserve">
※個人帳號恕無法適用.
優惠項目：
台灣進出口一般型及經濟型服務，限常溫運送包裹
危險品/管制品及需要溫控寄送包裹需事先詢價, 不適用於7折優惠
寄送內容物須受進出口國家之海關規範, 詳細運送時間請提供運送國家名稱及郵遞區號 洽 0800-075-075轉1-0-1與客服人員聯絡</t>
    </r>
  </si>
  <si>
    <t>SOS Repair維修中心</t>
  </si>
  <si>
    <t xml:space="preserve">電話：02-2396-0505
地址：台北市中正區青島東路21-3號
信箱：SOSREPAIR0505@gmail.com
LINE連結：https://lin.ee/sSZiFBV
</t>
  </si>
  <si>
    <t xml:space="preserve">1.蘋果產品(iPhone、iPad、Mac)維修、憑臺大識別證學生、教職員工、校友享9折優惠。
(認證零件，原廠零件另議)
2.符合上述優惠1身份者之家人(憑身分證明)，適用與臺大員工本人相同優惠條件。
(認證零件，原廠零件另議)
</t>
  </si>
  <si>
    <t>眷屬適用（憑身分證）</t>
  </si>
  <si>
    <t>富邦人壽保險股份有限公司</t>
  </si>
  <si>
    <t xml:space="preserve">電話：(02)8771-6699
地址：台北市信義區松高路77號8樓
網站：https://www.fubon.com/life/
詳細資訊洽整合行銷部 溫智安小姐，電話(02)2176-5188 #27617
</t>
  </si>
  <si>
    <t>臺灣大學教職員保險專案 
適用保險商品：富滿利利率變動型年金保險 甲型))( 、欣平安福保本終身保險( 、新安心寶倍終身健康保險( 、全心照護終身健康保險( 、精準守護防癌定期健康保險(
上述AJA1/HIW4/XDN2 適用集體彙繳保費折扣，詳細資訊請洽整合行銷部 溫智安，電話(02)2176
5188 分機27617 。
★富邦人壽商品資訊，可連結下方參考：
富滿利利率變動型年金保險 甲型
https://www.fubon.com/life/product/selling/marketing/057597F9115B4AEF96701234F55F5B98/SAY
欣平安福保本終身保險
https://www.fubon.com/life/product/personal/accident/AJA1
新安心寶倍終身健康保險
https://www.fubon.com/life/product/personal/medical/HIW4
全心照護終身健康保險
https://www.fubon.com/life/product/personal/medical/XDN2
精準守護防癌定期健康保險
https://www.fubon.com/life/product/personal/medical/CLO</t>
  </si>
  <si>
    <t>吉貓寓所</t>
  </si>
  <si>
    <t xml:space="preserve">純貓住宿｜頂級美容｜預約制
電話：(02) 2709-1225
地址：台北市大安區和平東路二段 297 號 3 樓
信箱：info@luckycatresort.tw
預約請加入官方 LINE：@luckycatresort
</t>
  </si>
  <si>
    <t>本校教職員工、學生及校友(含眷屬)結帳時請出示識別證，享有
（1）住宿服務折價新台幣500元
（2）美容服務折價新台幣200元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</si>
</sst>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92">
    <font>
      <sz val="12.0"/>
      <color rgb="FF000000"/>
      <name val="PMingLiu"/>
    </font>
    <font>
      <b/>
      <name val="Microsoft JhengHei"/>
    </font>
    <font>
      <b/>
      <sz val="12.0"/>
      <color rgb="FF000000"/>
      <name val="Microsoft JhengHei"/>
    </font>
    <font>
      <b/>
      <color rgb="FFB7B7B7"/>
      <name val="Arial"/>
    </font>
    <font>
      <b/>
      <name val="Arial"/>
    </font>
    <font>
      <b/>
      <sz val="18.0"/>
      <name val="Microsoft JhengHei"/>
    </font>
    <font>
      <name val="Microsoft JhengHei"/>
    </font>
    <font>
      <b/>
      <sz val="18.0"/>
      <name val="Arial"/>
    </font>
    <font>
      <b/>
      <color rgb="FFCCCCCC"/>
      <name val="Arial"/>
    </font>
    <font>
      <b/>
      <sz val="16.0"/>
      <name val="Arial"/>
    </font>
    <font>
      <b/>
      <sz val="16.0"/>
      <color rgb="FF000000"/>
      <name val="Arial"/>
    </font>
    <font>
      <b/>
      <u/>
      <sz val="18.0"/>
      <color rgb="FF3C78D8"/>
      <name val="Microsoft JhengHei"/>
    </font>
    <font>
      <b/>
      <u/>
      <sz val="20.0"/>
      <color rgb="FF3C78D8"/>
      <name val="Arial"/>
    </font>
    <font>
      <b/>
      <u/>
      <sz val="12.0"/>
      <color rgb="FF3C78D8"/>
      <name val="Arial"/>
    </font>
    <font>
      <b/>
      <u/>
      <sz val="12.0"/>
      <color rgb="FF3C78D8"/>
      <name val="Microsoft JhengHei"/>
    </font>
    <font>
      <b/>
      <u/>
      <color rgb="FF3C78D8"/>
      <name val="Arial"/>
    </font>
    <font>
      <b/>
      <sz val="12.0"/>
      <color rgb="FF000000"/>
      <name val="Arial"/>
    </font>
    <font>
      <b/>
      <color rgb="FF000000"/>
      <name val="Arial"/>
    </font>
    <font>
      <b/>
      <color rgb="FF980000"/>
      <name val="Arial"/>
    </font>
    <font>
      <b/>
      <color rgb="FF000000"/>
      <name val="Microsoft JhengHei"/>
    </font>
    <font>
      <b/>
      <u/>
      <sz val="20.0"/>
      <color rgb="FF3C78D8"/>
      <name val="Arial"/>
    </font>
    <font>
      <b/>
      <u/>
      <sz val="20.0"/>
      <color rgb="FF3C78D8"/>
      <name val="Arial"/>
    </font>
    <font>
      <b/>
      <sz val="12.0"/>
      <name val="Arial"/>
    </font>
    <font>
      <b/>
      <u/>
      <color rgb="FF3C78D8"/>
      <name val="Arial"/>
    </font>
    <font>
      <b/>
      <color rgb="FF0563C1"/>
      <name val="Arial"/>
    </font>
    <font>
      <b/>
      <u/>
      <color rgb="FF3C78D8"/>
      <name val="Arial"/>
    </font>
    <font>
      <b/>
      <u/>
      <sz val="12.0"/>
      <color rgb="FF3C78D8"/>
      <name val="Arial"/>
    </font>
    <font>
      <b/>
      <u/>
      <color rgb="FF3C78D8"/>
      <name val="Arial"/>
    </font>
    <font>
      <b/>
      <u/>
      <sz val="20.0"/>
      <color rgb="FF3C78D8"/>
      <name val="Arial"/>
    </font>
    <font>
      <b/>
      <u/>
      <sz val="12.0"/>
      <color rgb="FF3C78D8"/>
      <name val="微軟正黑體"/>
    </font>
    <font>
      <b/>
      <color rgb="FF3C78D8"/>
      <name val="Arial"/>
    </font>
    <font>
      <b/>
      <color rgb="FFFF0000"/>
      <name val="Arial"/>
    </font>
    <font>
      <b/>
      <u/>
      <color rgb="FF3C78D8"/>
      <name val="Arial"/>
    </font>
    <font>
      <b/>
      <u/>
      <sz val="12.0"/>
      <color rgb="FF3C78D8"/>
      <name val="Arial"/>
    </font>
    <font>
      <b/>
      <sz val="12.0"/>
      <color rgb="FFFF0000"/>
      <name val="Arial"/>
    </font>
    <font>
      <color rgb="FFCCCCCC"/>
      <name val="Arial"/>
    </font>
    <font>
      <name val="Arial"/>
    </font>
    <font>
      <b/>
      <u/>
      <sz val="12.0"/>
      <color rgb="FF3C78D8"/>
      <name val="Arial"/>
    </font>
    <font>
      <b/>
      <u/>
      <sz val="12.0"/>
      <color rgb="FF3C78D8"/>
      <name val="Arial"/>
    </font>
    <font>
      <b/>
      <u/>
      <color rgb="FF3C78D8"/>
      <name val="Arial"/>
    </font>
    <font>
      <b/>
      <u/>
      <sz val="12.0"/>
      <color rgb="FF3C78D8"/>
      <name val="Arial"/>
    </font>
    <font>
      <b/>
      <u/>
      <color rgb="FF3C78D8"/>
      <name val="Arial"/>
    </font>
    <font>
      <b/>
      <u/>
      <sz val="20.0"/>
      <color rgb="FF3C78D8"/>
      <name val="新細明體"/>
    </font>
    <font>
      <b/>
      <u/>
      <color rgb="FF3C78D8"/>
      <name val="Arial"/>
    </font>
    <font>
      <b/>
      <sz val="12.0"/>
      <color rgb="FF000000"/>
      <name val="&quot;新細明體"/>
    </font>
    <font>
      <b/>
      <sz val="12.0"/>
      <color rgb="FF0563C1"/>
      <name val="Arial"/>
    </font>
    <font>
      <b/>
      <sz val="12.0"/>
      <color rgb="FF3C78D8"/>
      <name val="Arial"/>
    </font>
    <font>
      <b/>
      <u/>
      <sz val="20.0"/>
      <color rgb="FF0000FF"/>
      <name val="Arial"/>
    </font>
    <font>
      <b/>
      <sz val="24.0"/>
      <name val="Arial"/>
    </font>
    <font>
      <b/>
      <u/>
      <sz val="12.0"/>
      <color rgb="FF980000"/>
      <name val="Arial"/>
    </font>
    <font>
      <b/>
      <color rgb="FF0000FF"/>
      <name val="Arial"/>
    </font>
    <font>
      <b/>
      <u/>
      <sz val="12.0"/>
      <color rgb="FF3C78D8"/>
      <name val="Arial"/>
    </font>
    <font>
      <b/>
      <sz val="12.0"/>
      <color rgb="FFB7B7B7"/>
      <name val="Arial"/>
    </font>
    <font>
      <b/>
      <sz val="20.0"/>
      <name val="Arial"/>
    </font>
    <font>
      <b/>
      <sz val="20.0"/>
      <color rgb="FF3C78D8"/>
      <name val="Arial"/>
    </font>
    <font>
      <b/>
      <u/>
      <sz val="12.0"/>
      <color rgb="FF3C78D8"/>
      <name val="Arial"/>
    </font>
    <font>
      <b/>
      <u/>
      <sz val="12.0"/>
      <color rgb="FF3C78D8"/>
      <name val="Arial"/>
    </font>
    <font>
      <color rgb="FFB7B7B7"/>
      <name val="Arial"/>
    </font>
    <font>
      <b/>
      <u/>
      <sz val="20.0"/>
      <color rgb="FF3C78D8"/>
      <name val="Arial"/>
    </font>
    <font>
      <b/>
      <u/>
      <sz val="12.0"/>
      <color rgb="FF3C78D8"/>
      <name val="Arial"/>
    </font>
    <font>
      <b/>
      <color rgb="FF3D85C6"/>
      <name val="Arial"/>
    </font>
    <font>
      <b/>
      <u/>
      <color rgb="FF3C78D8"/>
      <name val="Arial"/>
    </font>
    <font>
      <b/>
      <u/>
      <sz val="12.0"/>
      <color rgb="FF3C78D8"/>
      <name val="Arial"/>
    </font>
    <font>
      <b/>
      <sz val="20.0"/>
      <color rgb="FF0B5394"/>
      <name val="Arial"/>
    </font>
    <font>
      <b/>
      <u/>
      <sz val="20.0"/>
      <color rgb="FF3C78D8"/>
      <name val="標楷體"/>
    </font>
    <font>
      <b/>
      <u/>
      <sz val="19.0"/>
      <color rgb="FF3C78D8"/>
      <name val="Arial"/>
    </font>
    <font>
      <b/>
      <u/>
      <sz val="12.0"/>
      <color rgb="FF3C78D8"/>
      <name val="Arial"/>
    </font>
    <font>
      <b/>
      <u/>
      <color rgb="FF3C78D8"/>
      <name val="Arial"/>
    </font>
    <font>
      <b/>
      <u/>
      <color rgb="FF1155CC"/>
      <name val="Arial"/>
    </font>
    <font>
      <b/>
      <u/>
      <color rgb="FF3C78D8"/>
      <name val="Arial"/>
    </font>
    <font>
      <b/>
      <u/>
      <color rgb="FF3C78D8"/>
      <name val="Arial"/>
    </font>
    <font>
      <b/>
      <u/>
      <color rgb="FF3C78D8"/>
      <name val="Arial"/>
    </font>
    <font/>
    <font>
      <color rgb="FFF3F3F3"/>
      <name val="Arial"/>
    </font>
    <font>
      <b/>
      <u/>
      <sz val="12.0"/>
      <color rgb="FF3C78D8"/>
      <name val="Arial"/>
    </font>
    <font>
      <b/>
      <u/>
      <sz val="12.0"/>
      <color rgb="FF3C78D8"/>
      <name val="Arial"/>
    </font>
    <font>
      <sz val="24.0"/>
      <name val="Arial"/>
    </font>
    <font>
      <sz val="12.0"/>
      <color rgb="FF333333"/>
      <name val="Arial"/>
    </font>
    <font>
      <b/>
      <u/>
      <sz val="12.0"/>
      <color rgb="FF0000FF"/>
      <name val="Arial"/>
    </font>
    <font>
      <b/>
      <u/>
      <color rgb="FF1155CC"/>
      <name val="Arial"/>
    </font>
    <font>
      <b/>
      <u/>
      <color rgb="FF3C78D8"/>
      <name val="Arial"/>
    </font>
    <font>
      <b/>
      <u/>
      <sz val="20.0"/>
      <color rgb="FF3C78D8"/>
      <name val="Arial"/>
    </font>
    <font>
      <b/>
      <u/>
      <sz val="20.0"/>
      <color rgb="FF3C78D8"/>
      <name val="Arial"/>
    </font>
    <font>
      <b/>
      <u/>
      <sz val="20.0"/>
      <color rgb="FF3C78D8"/>
      <name val="Arial"/>
    </font>
    <font>
      <b/>
      <color rgb="FF999999"/>
      <name val="Arial"/>
    </font>
    <font>
      <b/>
      <u/>
      <sz val="20.0"/>
      <color rgb="FF3C78D8"/>
      <name val="Arial"/>
    </font>
    <font>
      <b/>
      <u/>
      <sz val="11.0"/>
      <color rgb="FF3C78D8"/>
      <name val="Arial"/>
    </font>
    <font>
      <b/>
      <u/>
      <sz val="12.0"/>
      <color rgb="FF3C78D8"/>
      <name val="Arial"/>
    </font>
    <font>
      <b/>
      <u/>
      <sz val="12.0"/>
      <color rgb="FF3C78D8"/>
      <name val="Arial"/>
    </font>
    <font>
      <b/>
      <sz val="12.0"/>
      <color rgb="FF999999"/>
      <name val="Arial"/>
    </font>
    <font>
      <b/>
      <u/>
      <sz val="12.0"/>
      <color rgb="FF0000FF"/>
      <name val="Arial"/>
    </font>
    <font>
      <b/>
      <u/>
      <sz val="20.0"/>
      <color rgb="FF3C78D8"/>
      <name val="新細明體"/>
    </font>
  </fonts>
  <fills count="6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3" fontId="7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vertical="center"/>
    </xf>
    <xf borderId="1" fillId="0" fontId="13" numFmtId="0" xfId="0" applyAlignment="1" applyBorder="1" applyFont="1">
      <alignment readingOrder="0" shrinkToFit="0" vertical="center" wrapText="1"/>
    </xf>
    <xf borderId="1" fillId="5" fontId="14" numFmtId="0" xfId="0" applyAlignment="1" applyBorder="1" applyFill="1" applyFont="1">
      <alignment horizontal="left" readingOrder="0" shrinkToFit="0" vertical="center" wrapText="1"/>
    </xf>
    <xf borderId="1" fillId="5" fontId="15" numFmtId="0" xfId="0" applyAlignment="1" applyBorder="1" applyFill="1" applyFont="1">
      <alignment readingOrder="0" shrinkToFit="0" vertical="center" wrapText="1"/>
    </xf>
    <xf borderId="1" fillId="0" fontId="16" numFmtId="164" xfId="0" applyAlignment="1" applyBorder="1" applyFont="1" applyNumberFormat="1">
      <alignment horizontal="center" readingOrder="0" shrinkToFit="0" vertical="center" wrapText="1"/>
    </xf>
    <xf borderId="1" fillId="5" fontId="17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shrinkToFit="0" vertical="center" wrapText="1"/>
    </xf>
    <xf borderId="0" fillId="5" fontId="3" numFmtId="0" xfId="0" applyAlignment="1" applyFill="1" applyFont="1">
      <alignment vertical="center"/>
    </xf>
    <xf borderId="1" fillId="5" fontId="17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ill="1" applyFont="1">
      <alignment vertical="center"/>
    </xf>
    <xf borderId="0" fillId="5" fontId="8" numFmtId="0" xfId="0" applyAlignment="1" applyFill="1" applyFont="1">
      <alignment vertical="center"/>
    </xf>
    <xf borderId="0" fillId="5" fontId="18" numFmtId="0" xfId="0" applyAlignment="1" applyFill="1" applyFont="1">
      <alignment vertical="center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vertical="center"/>
    </xf>
    <xf borderId="1" fillId="5" fontId="20" numFmtId="0" xfId="0" applyAlignment="1" applyBorder="1" applyFill="1" applyFont="1">
      <alignment readingOrder="0" shrinkToFit="0" vertical="center" wrapText="1"/>
    </xf>
    <xf borderId="1" fillId="5" fontId="16" numFmtId="0" xfId="0" applyAlignment="1" applyBorder="1" applyFill="1" applyFont="1">
      <alignment readingOrder="0" shrinkToFit="0" vertical="center" wrapText="1"/>
    </xf>
    <xf borderId="1" fillId="0" fontId="21" numFmtId="0" xfId="0" applyAlignment="1" applyBorder="1" applyFont="1">
      <alignment readingOrder="0" vertical="center"/>
    </xf>
    <xf borderId="2" fillId="0" fontId="22" numFmtId="0" xfId="0" applyAlignment="1" applyBorder="1" applyFont="1">
      <alignment readingOrder="0"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0" fillId="5" fontId="3" numFmtId="0" xfId="0" applyAlignment="1" applyFill="1" applyFont="1">
      <alignment readingOrder="0" vertical="center"/>
    </xf>
    <xf borderId="0" fillId="5" fontId="24" numFmtId="0" xfId="0" applyAlignment="1" applyFill="1" applyFont="1">
      <alignment vertical="center"/>
    </xf>
    <xf borderId="2" fillId="5" fontId="25" numFmtId="0" xfId="0" applyAlignment="1" applyBorder="1" applyFill="1" applyFont="1">
      <alignment readingOrder="0" shrinkToFit="0" vertical="center" wrapText="1"/>
    </xf>
    <xf borderId="2" fillId="5" fontId="17" numFmtId="0" xfId="0" applyAlignment="1" applyBorder="1" applyFill="1" applyFont="1">
      <alignment horizontal="center" readingOrder="0" shrinkToFit="0" vertical="center" wrapText="1"/>
    </xf>
    <xf borderId="0" fillId="5" fontId="8" numFmtId="0" xfId="0" applyAlignment="1" applyFill="1" applyFont="1">
      <alignment shrinkToFit="0" vertical="center" wrapText="1"/>
    </xf>
    <xf borderId="0" fillId="5" fontId="24" numFmtId="0" xfId="0" applyAlignment="1" applyFill="1" applyFont="1">
      <alignment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0" fontId="26" numFmtId="0" xfId="0" applyAlignment="1" applyBorder="1" applyFont="1">
      <alignment readingOrder="0" shrinkToFit="0" vertical="center" wrapText="1"/>
    </xf>
    <xf borderId="2" fillId="5" fontId="16" numFmtId="0" xfId="0" applyAlignment="1" applyBorder="1" applyFill="1" applyFont="1">
      <alignment horizontal="left" readingOrder="0" shrinkToFit="0" vertical="center" wrapText="0"/>
    </xf>
    <xf borderId="3" fillId="0" fontId="27" numFmtId="0" xfId="0" applyAlignment="1" applyBorder="1" applyFont="1">
      <alignment readingOrder="0" shrinkToFit="0" vertical="center" wrapText="1"/>
    </xf>
    <xf borderId="3" fillId="0" fontId="17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0" fillId="0" fontId="22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0"/>
    </xf>
    <xf borderId="1" fillId="0" fontId="28" numFmtId="0" xfId="0" applyAlignment="1" applyBorder="1" applyFont="1">
      <alignment horizontal="left" readingOrder="0" vertical="center"/>
    </xf>
    <xf borderId="2" fillId="0" fontId="29" numFmtId="0" xfId="0" applyAlignment="1" applyBorder="1" applyFont="1">
      <alignment horizontal="left" readingOrder="0" vertical="center"/>
    </xf>
    <xf borderId="3" fillId="0" fontId="30" numFmtId="0" xfId="0" applyAlignment="1" applyBorder="1" applyFont="1">
      <alignment readingOrder="0" shrinkToFit="0" vertical="center" wrapText="1"/>
    </xf>
    <xf borderId="3" fillId="5" fontId="31" numFmtId="0" xfId="0" applyAlignment="1" applyBorder="1" applyFill="1" applyFont="1">
      <alignment readingOrder="0" vertical="center"/>
    </xf>
    <xf borderId="0" fillId="0" fontId="1" numFmtId="0" xfId="0" applyAlignment="1" applyFont="1">
      <alignment shrinkToFit="0" vertical="center" wrapText="1"/>
    </xf>
    <xf borderId="1" fillId="5" fontId="17" numFmtId="0" xfId="0" applyAlignment="1" applyBorder="1" applyFill="1" applyFont="1">
      <alignment readingOrder="0" shrinkToFit="0" vertical="center" wrapText="1"/>
    </xf>
    <xf borderId="1" fillId="5" fontId="32" numFmtId="0" xfId="0" applyAlignment="1" applyBorder="1" applyFill="1" applyFont="1">
      <alignment readingOrder="0" shrinkToFit="0" vertical="center" wrapText="1"/>
    </xf>
    <xf borderId="1" fillId="5" fontId="31" numFmtId="0" xfId="0" applyAlignment="1" applyBorder="1" applyFill="1" applyFont="1">
      <alignment readingOrder="0" vertical="center"/>
    </xf>
    <xf borderId="2" fillId="0" fontId="33" numFmtId="0" xfId="0" applyAlignment="1" applyBorder="1" applyFont="1">
      <alignment readingOrder="0" shrinkToFit="0" vertical="center" wrapText="0"/>
    </xf>
    <xf borderId="1" fillId="0" fontId="34" numFmtId="164" xfId="0" applyAlignment="1" applyBorder="1" applyFont="1" applyNumberFormat="1">
      <alignment horizontal="center" readingOrder="0" shrinkToFit="0" vertical="center" wrapText="1"/>
    </xf>
    <xf borderId="0" fillId="0" fontId="35" numFmtId="0" xfId="0" applyAlignment="1" applyFont="1">
      <alignment vertical="center"/>
    </xf>
    <xf borderId="0" fillId="0" fontId="36" numFmtId="0" xfId="0" applyAlignment="1" applyFont="1">
      <alignment vertical="center"/>
    </xf>
    <xf borderId="2" fillId="0" fontId="22" numFmtId="0" xfId="0" applyAlignment="1" applyBorder="1" applyFont="1">
      <alignment shrinkToFit="0" vertical="center" wrapText="0"/>
    </xf>
    <xf borderId="1" fillId="0" fontId="17" numFmtId="0" xfId="0" applyAlignment="1" applyBorder="1" applyFont="1">
      <alignment readingOrder="0" shrinkToFit="0" vertical="center" wrapText="1"/>
    </xf>
    <xf borderId="2" fillId="0" fontId="22" numFmtId="0" xfId="0" applyAlignment="1" applyBorder="1" applyFont="1">
      <alignment readingOrder="0" vertical="center"/>
    </xf>
    <xf borderId="1" fillId="5" fontId="37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2" fillId="0" fontId="38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readingOrder="0" vertical="center"/>
    </xf>
    <xf borderId="2" fillId="0" fontId="39" numFmtId="0" xfId="0" applyAlignment="1" applyBorder="1" applyFont="1">
      <alignment readingOrder="0" shrinkToFit="0" vertical="center" wrapText="1"/>
    </xf>
    <xf borderId="1" fillId="0" fontId="40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5" fontId="16" numFmtId="0" xfId="0" applyAlignment="1" applyBorder="1" applyFill="1" applyFont="1">
      <alignment horizontal="left" readingOrder="0" shrinkToFit="0" vertical="center" wrapText="1"/>
    </xf>
    <xf borderId="1" fillId="0" fontId="41" numFmtId="0" xfId="0" applyAlignment="1" applyBorder="1" applyFont="1">
      <alignment horizontal="left" readingOrder="0" shrinkToFit="0" vertical="center" wrapText="1"/>
    </xf>
    <xf borderId="1" fillId="0" fontId="42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readingOrder="0" vertical="center"/>
    </xf>
    <xf borderId="1" fillId="0" fontId="43" numFmtId="0" xfId="0" applyAlignment="1" applyBorder="1" applyFont="1">
      <alignment readingOrder="0" shrinkToFit="0" vertical="center" wrapText="1"/>
    </xf>
    <xf borderId="2" fillId="0" fontId="4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2" fillId="5" fontId="45" numFmtId="0" xfId="0" applyAlignment="1" applyBorder="1" applyFill="1" applyFont="1">
      <alignment shrinkToFit="0" vertical="center" wrapText="0"/>
    </xf>
    <xf borderId="1" fillId="0" fontId="46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48" numFmtId="0" xfId="0" applyAlignment="1" applyFont="1">
      <alignment shrinkToFit="0" vertical="center" wrapText="1"/>
    </xf>
    <xf borderId="1" fillId="5" fontId="49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50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51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5" fontId="16" numFmtId="0" xfId="0" applyAlignment="1" applyBorder="1" applyFill="1" applyFont="1">
      <alignment horizontal="left" readingOrder="0" shrinkToFit="0" vertical="center" wrapText="1"/>
    </xf>
    <xf borderId="1" fillId="5" fontId="18" numFmtId="0" xfId="0" applyAlignment="1" applyBorder="1" applyFill="1" applyFont="1">
      <alignment horizontal="left" readingOrder="0" vertical="center"/>
    </xf>
    <xf borderId="1" fillId="5" fontId="16" numFmtId="0" xfId="0" applyAlignment="1" applyBorder="1" applyFill="1" applyFont="1">
      <alignment horizontal="left" readingOrder="0" shrinkToFit="0" vertical="center" wrapText="0"/>
    </xf>
    <xf borderId="1" fillId="5" fontId="16" numFmtId="0" xfId="0" applyAlignment="1" applyBorder="1" applyFill="1" applyFont="1">
      <alignment readingOrder="0" shrinkToFit="0" vertical="center" wrapText="1"/>
    </xf>
    <xf borderId="0" fillId="5" fontId="52" numFmtId="0" xfId="0" applyAlignment="1" applyFill="1" applyFont="1">
      <alignment readingOrder="0" shrinkToFit="0" vertical="center" wrapText="0"/>
    </xf>
    <xf borderId="0" fillId="5" fontId="22" numFmtId="0" xfId="0" applyAlignment="1" applyFill="1" applyFont="1">
      <alignment shrinkToFit="0" vertical="center" wrapText="0"/>
    </xf>
    <xf borderId="0" fillId="0" fontId="53" numFmtId="0" xfId="0" applyAlignment="1" applyFont="1">
      <alignment shrinkToFit="0" vertical="center" wrapText="1"/>
    </xf>
    <xf borderId="1" fillId="0" fontId="54" numFmtId="0" xfId="0" applyAlignment="1" applyBorder="1" applyFont="1">
      <alignment horizontal="left" readingOrder="0" shrinkToFit="0" vertical="center" wrapText="1"/>
    </xf>
    <xf borderId="1" fillId="0" fontId="55" numFmtId="0" xfId="0" applyAlignment="1" applyBorder="1" applyFont="1">
      <alignment horizontal="left" readingOrder="0" shrinkToFit="0" vertical="center" wrapText="1"/>
    </xf>
    <xf borderId="1" fillId="0" fontId="56" numFmtId="0" xfId="0" applyAlignment="1" applyBorder="1" applyFont="1">
      <alignment horizontal="left" readingOrder="0" shrinkToFit="0" vertical="center" wrapText="1"/>
    </xf>
    <xf borderId="0" fillId="0" fontId="57" numFmtId="0" xfId="0" applyAlignment="1" applyFont="1">
      <alignment vertical="center"/>
    </xf>
    <xf borderId="4" fillId="0" fontId="58" numFmtId="0" xfId="0" applyAlignment="1" applyBorder="1" applyFont="1">
      <alignment readingOrder="0" vertical="center"/>
    </xf>
    <xf borderId="3" fillId="5" fontId="16" numFmtId="0" xfId="0" applyAlignment="1" applyBorder="1" applyFill="1" applyFont="1">
      <alignment horizontal="left" readingOrder="0" shrinkToFit="0" vertical="center" wrapText="0"/>
    </xf>
    <xf borderId="3" fillId="0" fontId="59" numFmtId="0" xfId="0" applyAlignment="1" applyBorder="1" applyFont="1">
      <alignment readingOrder="0" shrinkToFit="0" vertical="center" wrapText="1"/>
    </xf>
    <xf borderId="3" fillId="5" fontId="16" numFmtId="0" xfId="0" applyAlignment="1" applyBorder="1" applyFill="1" applyFont="1">
      <alignment readingOrder="0" shrinkToFit="0" vertical="center" wrapText="0"/>
    </xf>
    <xf borderId="1" fillId="0" fontId="22" numFmtId="0" xfId="0" applyAlignment="1" applyBorder="1" applyFont="1">
      <alignment readingOrder="0" shrinkToFit="0" vertical="center" wrapText="1"/>
    </xf>
    <xf borderId="3" fillId="0" fontId="60" numFmtId="0" xfId="0" applyAlignment="1" applyBorder="1" applyFont="1">
      <alignment vertical="center"/>
    </xf>
    <xf borderId="3" fillId="0" fontId="61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vertical="center"/>
    </xf>
    <xf borderId="1" fillId="0" fontId="16" numFmtId="0" xfId="0" applyAlignment="1" applyBorder="1" applyFont="1">
      <alignment readingOrder="0" shrinkToFit="0" vertical="center" wrapText="1"/>
    </xf>
    <xf borderId="1" fillId="0" fontId="54" numFmtId="0" xfId="0" applyAlignment="1" applyBorder="1" applyFont="1">
      <alignment readingOrder="0" shrinkToFit="0" vertical="center" wrapText="1"/>
    </xf>
    <xf borderId="1" fillId="0" fontId="62" numFmtId="0" xfId="0" applyAlignment="1" applyBorder="1" applyFont="1">
      <alignment horizontal="left" readingOrder="0" shrinkToFit="0" vertical="center" wrapText="1"/>
    </xf>
    <xf borderId="2" fillId="5" fontId="16" numFmtId="164" xfId="0" applyAlignment="1" applyBorder="1" applyFill="1" applyFont="1" applyNumberFormat="1">
      <alignment horizontal="center" readingOrder="0" shrinkToFit="0" vertical="center" wrapText="0"/>
    </xf>
    <xf borderId="1" fillId="0" fontId="60" numFmtId="0" xfId="0" applyAlignment="1" applyBorder="1" applyFont="1">
      <alignment vertical="center"/>
    </xf>
    <xf borderId="0" fillId="0" fontId="63" numFmtId="0" xfId="0" applyAlignment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17" numFmtId="0" xfId="0" applyAlignment="1" applyFont="1">
      <alignment vertical="center"/>
    </xf>
    <xf borderId="1" fillId="0" fontId="46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0"/>
    </xf>
    <xf borderId="1" fillId="0" fontId="64" numFmtId="0" xfId="0" applyAlignment="1" applyBorder="1" applyFont="1">
      <alignment readingOrder="0" vertical="center"/>
    </xf>
    <xf borderId="1" fillId="0" fontId="46" numFmtId="0" xfId="0" applyAlignment="1" applyBorder="1" applyFont="1">
      <alignment readingOrder="0" shrinkToFit="0" vertical="center" wrapText="1"/>
    </xf>
    <xf borderId="1" fillId="0" fontId="65" numFmtId="0" xfId="0" applyAlignment="1" applyBorder="1" applyFont="1">
      <alignment readingOrder="0" vertical="center"/>
    </xf>
    <xf borderId="1" fillId="0" fontId="16" numFmtId="0" xfId="0" applyAlignment="1" applyBorder="1" applyFont="1">
      <alignment horizontal="left" readingOrder="0" vertical="center"/>
    </xf>
    <xf borderId="1" fillId="0" fontId="6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45" numFmtId="0" xfId="0" applyAlignment="1" applyBorder="1" applyFont="1">
      <alignment readingOrder="0" shrinkToFit="0" vertical="center" wrapText="0"/>
    </xf>
    <xf borderId="0" fillId="0" fontId="45" numFmtId="0" xfId="0" applyAlignment="1" applyFont="1">
      <alignment shrinkToFit="0" vertical="center" wrapText="0"/>
    </xf>
    <xf borderId="0" fillId="0" fontId="22" numFmtId="0" xfId="0" applyAlignment="1" applyFont="1">
      <alignment horizontal="center" shrinkToFit="0" vertical="center" wrapText="1"/>
    </xf>
    <xf borderId="0" fillId="0" fontId="36" numFmtId="0" xfId="0" applyAlignment="1" applyFont="1">
      <alignment shrinkToFit="0" vertical="center" wrapText="1"/>
    </xf>
    <xf borderId="1" fillId="0" fontId="67" numFmtId="0" xfId="0" applyAlignment="1" applyBorder="1" applyFont="1">
      <alignment horizontal="center" readingOrder="0" vertical="bottom"/>
    </xf>
    <xf borderId="1" fillId="0" fontId="30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68" numFmtId="0" xfId="0" applyAlignment="1" applyBorder="1" applyFont="1">
      <alignment horizontal="center" readingOrder="0" shrinkToFit="0" vertical="center" wrapText="1"/>
    </xf>
    <xf borderId="1" fillId="0" fontId="69" numFmtId="0" xfId="0" applyAlignment="1" applyBorder="1" applyFont="1">
      <alignment horizontal="center" readingOrder="0" vertical="center"/>
    </xf>
    <xf borderId="1" fillId="5" fontId="70" numFmtId="0" xfId="0" applyAlignment="1" applyBorder="1" applyFill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center" readingOrder="0" vertical="center"/>
    </xf>
    <xf borderId="5" fillId="0" fontId="71" numFmtId="0" xfId="0" applyAlignment="1" applyBorder="1" applyFont="1">
      <alignment horizontal="left" readingOrder="0" shrinkToFit="0" vertical="center" wrapText="1"/>
    </xf>
    <xf borderId="3" fillId="0" fontId="72" numFmtId="0" xfId="0" applyAlignment="1" applyBorder="1" applyFont="1">
      <alignment vertical="center"/>
    </xf>
    <xf borderId="1" fillId="0" fontId="73" numFmtId="0" xfId="0" applyAlignment="1" applyBorder="1" applyFont="1">
      <alignment readingOrder="0" shrinkToFit="0" vertical="center" wrapText="1"/>
    </xf>
    <xf borderId="1" fillId="0" fontId="74" numFmtId="0" xfId="0" applyAlignment="1" applyBorder="1" applyFont="1">
      <alignment horizontal="center" readingOrder="0" shrinkToFit="0" vertical="center" wrapText="1"/>
    </xf>
    <xf borderId="1" fillId="0" fontId="75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73" numFmtId="0" xfId="0" applyAlignment="1" applyBorder="1" applyFont="1">
      <alignment shrinkToFit="0" vertical="center" wrapText="1"/>
    </xf>
    <xf borderId="0" fillId="0" fontId="76" numFmtId="0" xfId="0" applyAlignment="1" applyFont="1">
      <alignment shrinkToFit="0" vertical="center" wrapText="1"/>
    </xf>
    <xf borderId="0" fillId="0" fontId="36" numFmtId="0" xfId="0" applyAlignment="1" applyFont="1">
      <alignment horizontal="left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73" numFmtId="0" xfId="0" applyAlignment="1" applyFont="1">
      <alignment shrinkToFit="0" vertical="center" wrapText="1"/>
    </xf>
    <xf borderId="0" fillId="0" fontId="77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30" numFmtId="0" xfId="0" applyAlignment="1" applyBorder="1" applyFont="1">
      <alignment readingOrder="0" shrinkToFit="0" vertical="center" wrapText="1"/>
    </xf>
    <xf borderId="1" fillId="0" fontId="22" numFmtId="164" xfId="0" applyAlignment="1" applyBorder="1" applyFont="1" applyNumberFormat="1">
      <alignment horizontal="center" readingOrder="0" shrinkToFit="0" vertical="center" wrapText="1"/>
    </xf>
    <xf borderId="1" fillId="0" fontId="34" numFmtId="164" xfId="0" applyAlignment="1" applyBorder="1" applyFont="1" applyNumberFormat="1">
      <alignment horizontal="center" readingOrder="0" shrinkToFit="0" vertical="center" wrapText="1"/>
    </xf>
    <xf borderId="1" fillId="0" fontId="22" numFmtId="0" xfId="0" applyAlignment="1" applyBorder="1" applyFont="1">
      <alignment readingOrder="0" vertical="center"/>
    </xf>
    <xf borderId="1" fillId="0" fontId="78" numFmtId="0" xfId="0" applyAlignment="1" applyBorder="1" applyFont="1">
      <alignment readingOrder="0" vertical="center"/>
    </xf>
    <xf borderId="1" fillId="0" fontId="22" numFmtId="164" xfId="0" applyAlignment="1" applyBorder="1" applyFont="1" applyNumberFormat="1">
      <alignment horizontal="center" readingOrder="0" vertical="center"/>
    </xf>
    <xf borderId="1" fillId="0" fontId="22" numFmtId="0" xfId="0" applyAlignment="1" applyBorder="1" applyFont="1">
      <alignment vertical="center"/>
    </xf>
    <xf borderId="1" fillId="0" fontId="79" numFmtId="0" xfId="0" applyAlignment="1" applyBorder="1" applyFont="1">
      <alignment readingOrder="0" shrinkToFit="0" vertical="center" wrapText="1"/>
    </xf>
    <xf borderId="1" fillId="0" fontId="80" numFmtId="0" xfId="0" applyAlignment="1" applyBorder="1" applyFont="1">
      <alignment readingOrder="0" shrinkToFit="0" vertical="center" wrapText="1"/>
    </xf>
    <xf borderId="1" fillId="0" fontId="81" numFmtId="0" xfId="0" applyAlignment="1" applyBorder="1" applyFont="1">
      <alignment horizontal="left" readingOrder="0" shrinkToFit="0" vertical="center" wrapText="0"/>
    </xf>
    <xf borderId="1" fillId="0" fontId="16" numFmtId="0" xfId="0" applyAlignment="1" applyBorder="1" applyFont="1">
      <alignment readingOrder="0" shrinkToFit="0" vertical="center" wrapText="1"/>
    </xf>
    <xf borderId="1" fillId="0" fontId="82" numFmtId="0" xfId="0" applyAlignment="1" applyBorder="1" applyFont="1">
      <alignment readingOrder="0" vertical="center"/>
    </xf>
    <xf borderId="1" fillId="5" fontId="46" numFmtId="0" xfId="0" applyAlignment="1" applyBorder="1" applyFill="1" applyFont="1">
      <alignment horizontal="left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vertical="center"/>
    </xf>
    <xf borderId="1" fillId="0" fontId="83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0" fillId="0" fontId="84" numFmtId="0" xfId="0" applyAlignment="1" applyFont="1">
      <alignment readingOrder="0" shrinkToFit="0" vertical="center" wrapText="1"/>
    </xf>
    <xf borderId="1" fillId="0" fontId="85" numFmtId="0" xfId="0" applyAlignment="1" applyBorder="1" applyFont="1">
      <alignment horizontal="left" readingOrder="0" shrinkToFit="0" vertical="center" wrapText="1"/>
    </xf>
    <xf borderId="1" fillId="0" fontId="86" numFmtId="0" xfId="0" applyAlignment="1" applyBorder="1" applyFont="1">
      <alignment horizontal="left" readingOrder="0" shrinkToFit="0" vertical="center" wrapText="1"/>
    </xf>
    <xf borderId="0" fillId="0" fontId="53" numFmtId="0" xfId="0" applyAlignment="1" applyFont="1">
      <alignment shrinkToFit="0" vertical="center" wrapText="1"/>
    </xf>
    <xf borderId="1" fillId="5" fontId="87" numFmtId="0" xfId="0" applyAlignment="1" applyBorder="1" applyFill="1" applyFont="1">
      <alignment readingOrder="0" shrinkToFit="0" vertical="center" wrapText="1"/>
    </xf>
    <xf borderId="1" fillId="5" fontId="88" numFmtId="0" xfId="0" applyAlignment="1" applyBorder="1" applyFill="1" applyFont="1">
      <alignment horizontal="left" readingOrder="0" shrinkToFit="0" vertical="center" wrapText="1"/>
    </xf>
    <xf borderId="0" fillId="5" fontId="89" numFmtId="0" xfId="0" applyAlignment="1" applyFill="1" applyFont="1">
      <alignment horizontal="left" readingOrder="0" vertical="center"/>
    </xf>
    <xf borderId="1" fillId="0" fontId="53" numFmtId="0" xfId="0" applyAlignment="1" applyBorder="1" applyFont="1">
      <alignment readingOrder="0" shrinkToFit="0" vertical="center" wrapText="1"/>
    </xf>
    <xf borderId="1" fillId="0" fontId="90" numFmtId="0" xfId="0" applyAlignment="1" applyBorder="1" applyFont="1">
      <alignment readingOrder="0" shrinkToFit="0" vertical="center" wrapText="1"/>
    </xf>
    <xf borderId="1" fillId="5" fontId="16" numFmtId="0" xfId="0" applyAlignment="1" applyBorder="1" applyFill="1" applyFont="1">
      <alignment horizontal="left" readingOrder="0" shrinkToFit="0" vertical="center" wrapText="1"/>
    </xf>
    <xf borderId="0" fillId="0" fontId="22" numFmtId="0" xfId="0" applyAlignment="1" applyFont="1">
      <alignment readingOrder="0" vertical="center"/>
    </xf>
    <xf borderId="1" fillId="0" fontId="53" numFmtId="0" xfId="0" applyAlignment="1" applyBorder="1" applyFont="1">
      <alignment readingOrder="0" vertical="center"/>
    </xf>
    <xf borderId="1" fillId="0" fontId="16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horizontal="center" readingOrder="0" vertical="center"/>
    </xf>
    <xf borderId="1" fillId="0" fontId="34" numFmtId="164" xfId="0" applyAlignment="1" applyBorder="1" applyFont="1" applyNumberFormat="1">
      <alignment horizontal="center" readingOrder="0" vertical="center"/>
    </xf>
    <xf borderId="1" fillId="0" fontId="91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shrinkToFit="0" vertical="center" wrapText="1"/>
    </xf>
    <xf borderId="1" fillId="0" fontId="22" numFmtId="164" xfId="0" applyAlignment="1" applyBorder="1" applyFont="1" applyNumberFormat="1">
      <alignment horizontal="center" readingOrder="0" vertical="center"/>
    </xf>
    <xf borderId="0" fillId="0" fontId="53" numFmtId="0" xfId="0" applyAlignment="1" applyFont="1">
      <alignment vertical="center"/>
    </xf>
    <xf borderId="0" fillId="0" fontId="2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I5RrBhBpHKiaBMMPJpJf_HjS6XBh-CsPhaKpAL8OM/edit?gid=0" TargetMode="External"/><Relationship Id="rId2" Type="http://schemas.openxmlformats.org/officeDocument/2006/relationships/hyperlink" Target="https://cw.wowisee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2bWKM1QNYwzZu1qvmg95ghfL9CL3flv1?usp=drive_link" TargetMode="External"/><Relationship Id="rId20" Type="http://schemas.openxmlformats.org/officeDocument/2006/relationships/hyperlink" Target="https://drive.google.com/file/d/1xcHEQ7rl6MFSqC2KkesOwe-LDI6H_Cel/view?usp=drive_link" TargetMode="External"/><Relationship Id="rId42" Type="http://schemas.openxmlformats.org/officeDocument/2006/relationships/hyperlink" Target="https://www.hyatt.com/hyatt-place/zh-HK/tpezn-hyatt-place-new-taipei-city-xinzhuang" TargetMode="External"/><Relationship Id="rId41" Type="http://schemas.openxmlformats.org/officeDocument/2006/relationships/hyperlink" Target="https://drive.google.com/file/d/1q5o_DiT3uyWPnRgXiKJ8cjZSseXVzXcJ/view?usp=drive_link" TargetMode="External"/><Relationship Id="rId22" Type="http://schemas.openxmlformats.org/officeDocument/2006/relationships/hyperlink" Target="https://drive.google.com/file/d/1BwYP7EeU4uuWqh_gvSOwJsa9DLfmA_im/view?usp=drive_link" TargetMode="External"/><Relationship Id="rId44" Type="http://schemas.openxmlformats.org/officeDocument/2006/relationships/hyperlink" Target="https://life.ntu.edu.tw/zh_tw/page1/On_Campus/%E9%A0%81%E9%9D%A2" TargetMode="External"/><Relationship Id="rId21" Type="http://schemas.openxmlformats.org/officeDocument/2006/relationships/hyperlink" Target="https://greenworldhotels.com/" TargetMode="External"/><Relationship Id="rId43" Type="http://schemas.openxmlformats.org/officeDocument/2006/relationships/hyperlink" Target="https://drive.google.com/file/d/1V_c9XNWR6XzzMF0XPAqIPMj3IpaCNCjF/view?usp=drive_link" TargetMode="External"/><Relationship Id="rId24" Type="http://schemas.openxmlformats.org/officeDocument/2006/relationships/hyperlink" Target="https://drive.google.com/file/d/1rr2xuufUGSoT3ICqe3vvbY8Wiek5OKZd/view?usp=drive_link" TargetMode="External"/><Relationship Id="rId46" Type="http://schemas.openxmlformats.org/officeDocument/2006/relationships/hyperlink" Target="https://ood-hotel.hexa.tw/hexa/booking?start=2026-01-14&amp;end=2026-01-15&amp;adults=2&amp;children=0&amp;room=1&amp;is_user=true&amp;tab=roomsEl&amp;duration=1" TargetMode="External"/><Relationship Id="rId23" Type="http://schemas.openxmlformats.org/officeDocument/2006/relationships/hyperlink" Target="https://tp.linkworldhotel.com.tw/" TargetMode="External"/><Relationship Id="rId45" Type="http://schemas.openxmlformats.org/officeDocument/2006/relationships/hyperlink" Target="https://drive.google.com/file/d/1aYNQ52Mdt3ZIJkG_k-d5d5a1oKB3lSXh/view?usp=drive_link" TargetMode="External"/><Relationship Id="rId1" Type="http://schemas.openxmlformats.org/officeDocument/2006/relationships/hyperlink" Target="https://drive.google.com/drive/folders/1oc6hBb0k79ZpGWK4iE4pKggLrcdrBjEq?usp=drive_link" TargetMode="External"/><Relationship Id="rId2" Type="http://schemas.openxmlformats.org/officeDocument/2006/relationships/hyperlink" Target="https://drive.google.com/file/d/1onqOQ3q7uu1yZbEO0N8CTIiD1dfRrwLi/view?usp=drive_link" TargetMode="External"/><Relationship Id="rId3" Type="http://schemas.openxmlformats.org/officeDocument/2006/relationships/hyperlink" Target="https://www.fullon-hotels.com.tw/fullon-poshtels/lk/tw/" TargetMode="External"/><Relationship Id="rId4" Type="http://schemas.openxmlformats.org/officeDocument/2006/relationships/hyperlink" Target="https://drive.google.com/file/d/1dqMtiwTe0fSa5uuy0pCoBlU6z4L7ztTr/view?usp=drive_link" TargetMode="External"/><Relationship Id="rId9" Type="http://schemas.openxmlformats.org/officeDocument/2006/relationships/hyperlink" Target="https://www.howard-hotels.com.tw/zh_TW/HotelVacation/116" TargetMode="External"/><Relationship Id="rId26" Type="http://schemas.openxmlformats.org/officeDocument/2006/relationships/hyperlink" Target="https://group.hubhotel.com.tw/" TargetMode="External"/><Relationship Id="rId25" Type="http://schemas.openxmlformats.org/officeDocument/2006/relationships/hyperlink" Target="https://drive.google.com/file/d/1s2pHUEjJKN7A5NzXgaNsriHijWAq9R6w/view?usp=drive_link" TargetMode="External"/><Relationship Id="rId47" Type="http://schemas.openxmlformats.org/officeDocument/2006/relationships/drawing" Target="../drawings/drawing2.xml"/><Relationship Id="rId28" Type="http://schemas.openxmlformats.org/officeDocument/2006/relationships/hyperlink" Target="https://drive.google.com/file/d/152InxN-350yJ9iizHYCt40U9ySDMD9D_/view?usp=drive_link" TargetMode="External"/><Relationship Id="rId27" Type="http://schemas.openxmlformats.org/officeDocument/2006/relationships/hyperlink" Target="https://drive.google.com/file/d/1GuZOBmXebMTj82tAudc6C3iD7fhPaYes/view?usp=drive_link" TargetMode="External"/><Relationship Id="rId5" Type="http://schemas.openxmlformats.org/officeDocument/2006/relationships/hyperlink" Target="https://www.howard-hotels.com.tw/zh_TW/HotelBusiness/91" TargetMode="External"/><Relationship Id="rId6" Type="http://schemas.openxmlformats.org/officeDocument/2006/relationships/hyperlink" Target="https://drive.google.com/file/d/15KDhB-sMG-2mwbTcn7zOv9Qe1aBpaFrJ/view?usp=drive_link" TargetMode="External"/><Relationship Id="rId29" Type="http://schemas.openxmlformats.org/officeDocument/2006/relationships/hyperlink" Target="https://sotetsu-hotels.com/tw/grand-fresa/taipeiximen/" TargetMode="External"/><Relationship Id="rId7" Type="http://schemas.openxmlformats.org/officeDocument/2006/relationships/hyperlink" Target="https://www.howard-hotels.com.tw/zh_TW/HotelBusiness/96" TargetMode="External"/><Relationship Id="rId8" Type="http://schemas.openxmlformats.org/officeDocument/2006/relationships/hyperlink" Target="https://drive.google.com/file/d/1oeGCch6e8IP0gDVJ4DCJlkVy5Kjr8LDs/view?usp=drive_link" TargetMode="External"/><Relationship Id="rId31" Type="http://schemas.openxmlformats.org/officeDocument/2006/relationships/hyperlink" Target="https://drive.google.com/file/d/1TV5S4cKpJbawnde_WknccmalWEGbGeeJ/view?usp=drive_link" TargetMode="External"/><Relationship Id="rId30" Type="http://schemas.openxmlformats.org/officeDocument/2006/relationships/hyperlink" Target="https://drive.google.com/file/d/1ZCjQLdBsPMMyJPkxwUB2tMwP9DUCP6h4/view?usp=drive_link" TargetMode="External"/><Relationship Id="rId11" Type="http://schemas.openxmlformats.org/officeDocument/2006/relationships/hyperlink" Target="https://www.howard-hotels.com.tw/zh_TW/HotelBusiness/101" TargetMode="External"/><Relationship Id="rId33" Type="http://schemas.openxmlformats.org/officeDocument/2006/relationships/hyperlink" Target="https://drive.google.com/file/d/1e1wmPl5ofDTVRDVVJHy7vh0XfhKPcoQJ/view?usp=drive_link" TargetMode="External"/><Relationship Id="rId10" Type="http://schemas.openxmlformats.org/officeDocument/2006/relationships/hyperlink" Target="https://drive.google.com/file/d/17-mdrJdHX2ioMQbHHFG3yT5rdhzc_vbX/view?usp=drive_link" TargetMode="External"/><Relationship Id="rId32" Type="http://schemas.openxmlformats.org/officeDocument/2006/relationships/hyperlink" Target="https://www.taipeiinn.com.tw/" TargetMode="External"/><Relationship Id="rId13" Type="http://schemas.openxmlformats.org/officeDocument/2006/relationships/hyperlink" Target="https://www.grand-hotel.org/tw/official/main.aspx?gh=TP" TargetMode="External"/><Relationship Id="rId35" Type="http://schemas.openxmlformats.org/officeDocument/2006/relationships/hyperlink" Target="https://south.taipeifullerton.com.tw/" TargetMode="External"/><Relationship Id="rId12" Type="http://schemas.openxmlformats.org/officeDocument/2006/relationships/hyperlink" Target="https://drive.google.com/file/d/1PGNYUCKeBQOgCkSo7WsMGTQY1DiBVMwp/view?usp=drive_link" TargetMode="External"/><Relationship Id="rId34" Type="http://schemas.openxmlformats.org/officeDocument/2006/relationships/hyperlink" Target="https://drive.google.com/file/d/1hQkuNvAh3lOaVUngsvyDi2tIDhJC69_D/view?usp=drive_link" TargetMode="External"/><Relationship Id="rId15" Type="http://schemas.openxmlformats.org/officeDocument/2006/relationships/hyperlink" Target="https://drive.google.com/drive/folders/19GuL--2Yz8SICM-BXOmDm6qd5M4_TLVt?usp=drive_link" TargetMode="External"/><Relationship Id="rId37" Type="http://schemas.openxmlformats.org/officeDocument/2006/relationships/hyperlink" Target="https://www.hannssummer.com/" TargetMode="External"/><Relationship Id="rId14" Type="http://schemas.openxmlformats.org/officeDocument/2006/relationships/hyperlink" Target="https://drive.google.com/file/d/1TNDzvkC8cQv_uj_VWlifrJDLI8X--qOA/view?usp=drive_link" TargetMode="External"/><Relationship Id="rId36" Type="http://schemas.openxmlformats.org/officeDocument/2006/relationships/hyperlink" Target="https://drive.google.com/file/d/1Xqfh-Vz_IXqAf2d_RhKMTALX0Z4FOqN9/view?usp=drive_link" TargetMode="External"/><Relationship Id="rId17" Type="http://schemas.openxmlformats.org/officeDocument/2006/relationships/hyperlink" Target="https://drive.google.com/file/d/1iekbG1E9PLexFcxyH7kYrIn9giOAVMiu/view?usp=drive_link" TargetMode="External"/><Relationship Id="rId39" Type="http://schemas.openxmlformats.org/officeDocument/2006/relationships/hyperlink" Target="https://hannshouse.com/" TargetMode="External"/><Relationship Id="rId16" Type="http://schemas.openxmlformats.org/officeDocument/2006/relationships/hyperlink" Target="https://drive.google.com/file/d/1XBlCXkRF2-rd0c3Ar2S0AzvuSBYCV2cz/view?usp=drive_link" TargetMode="External"/><Relationship Id="rId38" Type="http://schemas.openxmlformats.org/officeDocument/2006/relationships/hyperlink" Target="https://drive.google.com/file/d/1N-rBCyvtSwcg_zBKsw-fdoDCNdo8KhKH/view?usp=drive_link" TargetMode="External"/><Relationship Id="rId19" Type="http://schemas.openxmlformats.org/officeDocument/2006/relationships/hyperlink" Target="https://member.silkshotelgroup.com/JSNTU/Package/Details/c8efe833-4808-414c-9d1a-d745f90555f7?preview=true" TargetMode="External"/><Relationship Id="rId18" Type="http://schemas.openxmlformats.org/officeDocument/2006/relationships/hyperlink" Target="https://member.silkshotelgroup.com/JSNTU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ToCD_naKa984j05n5D27PIyjGiyRT_gF/view?usp=drive_link" TargetMode="External"/><Relationship Id="rId22" Type="http://schemas.openxmlformats.org/officeDocument/2006/relationships/hyperlink" Target="https://drive.google.com/file/d/12U_Tiq5uQkmmeSv-HcOeeml-qpkr-Cab/view?usp=drive_link" TargetMode="External"/><Relationship Id="rId21" Type="http://schemas.openxmlformats.org/officeDocument/2006/relationships/hyperlink" Target="https://www.fushin-hotel.com.tw/taichung/tw/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s://drive.google.com/drive/folders/1oc6hBb0k79ZpGWK4iE4pKggLrcdrBjEq?usp=drive_link" TargetMode="External"/><Relationship Id="rId2" Type="http://schemas.openxmlformats.org/officeDocument/2006/relationships/hyperlink" Target="https://drive.google.com/file/d/1onqOQ3q7uu1yZbEO0N8CTIiD1dfRrwLi/view?usp=drive_link" TargetMode="External"/><Relationship Id="rId3" Type="http://schemas.openxmlformats.org/officeDocument/2006/relationships/hyperlink" Target="https://www.howard-hotels.com.tw/zh_TW/HotelVacation/146" TargetMode="External"/><Relationship Id="rId4" Type="http://schemas.openxmlformats.org/officeDocument/2006/relationships/hyperlink" Target="https://drive.google.com/file/d/1nKhcV5Q4qZU5tHDR5VVErjnpDdkDnGcQ/view?usp=drive_link" TargetMode="External"/><Relationship Id="rId9" Type="http://schemas.openxmlformats.org/officeDocument/2006/relationships/hyperlink" Target="https://drive.google.com/file/d/1NY1Po9eJeV8B0XSt4Wb5J7TshUoS4ML4/view?usp=drive_link" TargetMode="External"/><Relationship Id="rId5" Type="http://schemas.openxmlformats.org/officeDocument/2006/relationships/hyperlink" Target="https://www.hotelroyal.com.tw/zh-tw/taichung" TargetMode="External"/><Relationship Id="rId6" Type="http://schemas.openxmlformats.org/officeDocument/2006/relationships/hyperlink" Target="https://drive.google.com/file/d/16eDPxOI4PycdV0lvrwN4Yt5VBmj2KC04/view" TargetMode="External"/><Relationship Id="rId7" Type="http://schemas.openxmlformats.org/officeDocument/2006/relationships/hyperlink" Target="https://drive.google.com/file/d/1Y9niTVTpr7FX9Oc7GXN-KN9pqrkp7ukh/view?usp=drive_link" TargetMode="External"/><Relationship Id="rId8" Type="http://schemas.openxmlformats.org/officeDocument/2006/relationships/hyperlink" Target="https://www.53hotel.com.tw/ch/about.html" TargetMode="External"/><Relationship Id="rId11" Type="http://schemas.openxmlformats.org/officeDocument/2006/relationships/hyperlink" Target="https://drive.google.com/file/d/1SppYz0YPrzttOgb-yMX6SKN2HxllDJzr/view?usp=drive_link" TargetMode="External"/><Relationship Id="rId10" Type="http://schemas.openxmlformats.org/officeDocument/2006/relationships/hyperlink" Target="http://www.huweihotel.com.tw/" TargetMode="External"/><Relationship Id="rId13" Type="http://schemas.openxmlformats.org/officeDocument/2006/relationships/hyperlink" Target="https://drive.google.com/drive/folders/1p1YwqfeEOalqxS-t8rBqB4dAzBIWd5vV?usp=drive_link" TargetMode="External"/><Relationship Id="rId12" Type="http://schemas.openxmlformats.org/officeDocument/2006/relationships/hyperlink" Target="https://www.ihg.com/intercontinental/hotels/tw/zh/taichung/rmqtt/hoteldetail" TargetMode="External"/><Relationship Id="rId15" Type="http://schemas.openxmlformats.org/officeDocument/2006/relationships/hyperlink" Target="https://drive.google.com/file/d/1s2pHUEjJKN7A5NzXgaNsriHijWAq9R6w/view?usp=drive_link" TargetMode="External"/><Relationship Id="rId14" Type="http://schemas.openxmlformats.org/officeDocument/2006/relationships/hyperlink" Target="https://drive.google.com/file/d/1jmQ49Ux0OMa1tnpqyHL7u8qtudTkd1pa/view?usp=drive_link" TargetMode="External"/><Relationship Id="rId17" Type="http://schemas.openxmlformats.org/officeDocument/2006/relationships/hyperlink" Target="https://drive.google.com/file/d/1e1wmPl5ofDTVRDVVJHy7vh0XfhKPcoQJ/view?usp=drive_link" TargetMode="External"/><Relationship Id="rId16" Type="http://schemas.openxmlformats.org/officeDocument/2006/relationships/hyperlink" Target="https://www.taipeiinn.com.tw/" TargetMode="External"/><Relationship Id="rId19" Type="http://schemas.openxmlformats.org/officeDocument/2006/relationships/hyperlink" Target="https://www.kindness-hotel.com.tw/" TargetMode="External"/><Relationship Id="rId18" Type="http://schemas.openxmlformats.org/officeDocument/2006/relationships/hyperlink" Target="https://drive.google.com/file/d/1hQkuNvAh3lOaVUngsvyDi2tIDhJC69_D/view?usp=drive_link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ToCD_naKa984j05n5D27PIyjGiyRT_gF/view?usp=drive_link" TargetMode="External"/><Relationship Id="rId21" Type="http://schemas.openxmlformats.org/officeDocument/2006/relationships/drawing" Target="../drawings/drawing4.xml"/><Relationship Id="rId1" Type="http://schemas.openxmlformats.org/officeDocument/2006/relationships/hyperlink" Target="https://drive.google.com/drive/folders/1oc6hBb0k79ZpGWK4iE4pKggLrcdrBjEq?usp=drive_link" TargetMode="External"/><Relationship Id="rId2" Type="http://schemas.openxmlformats.org/officeDocument/2006/relationships/hyperlink" Target="https://drive.google.com/file/d/1onqOQ3q7uu1yZbEO0N8CTIiD1dfRrwLi/view?usp=drive_link" TargetMode="External"/><Relationship Id="rId3" Type="http://schemas.openxmlformats.org/officeDocument/2006/relationships/hyperlink" Target="https://www.howard-hotels.com.tw/zh_TW/HotelBusiness/136" TargetMode="External"/><Relationship Id="rId4" Type="http://schemas.openxmlformats.org/officeDocument/2006/relationships/hyperlink" Target="https://drive.google.com/file/d/1axe3nuecxlndOMpIN6XZCUvbfc9K__Uw/view?usp=drive_link" TargetMode="External"/><Relationship Id="rId9" Type="http://schemas.openxmlformats.org/officeDocument/2006/relationships/hyperlink" Target="https://drive.google.com/file/d/1kQr6onLbcaI3vgFJ8bT3GQjwgvcuEqNC/view?usp=drive_link" TargetMode="External"/><Relationship Id="rId5" Type="http://schemas.openxmlformats.org/officeDocument/2006/relationships/hyperlink" Target="https://drive.google.com/file/d/1s2pHUEjJKN7A5NzXgaNsriHijWAq9R6w/view?usp=drive_link" TargetMode="External"/><Relationship Id="rId6" Type="http://schemas.openxmlformats.org/officeDocument/2006/relationships/hyperlink" Target="https://www.taiurbanresort.com.tw/" TargetMode="External"/><Relationship Id="rId7" Type="http://schemas.openxmlformats.org/officeDocument/2006/relationships/hyperlink" Target="https://drive.google.com/file/d/1uZB6SYxCu7zkZeVJ2epiMZS6OxxkgfIO/view?usp=drive_link" TargetMode="External"/><Relationship Id="rId8" Type="http://schemas.openxmlformats.org/officeDocument/2006/relationships/hyperlink" Target="https://www.fushin-hotel.com.tw/tainan/tw/" TargetMode="External"/><Relationship Id="rId11" Type="http://schemas.openxmlformats.org/officeDocument/2006/relationships/hyperlink" Target="https://drive.google.com/file/d/1kQr6onLbcaI3vgFJ8bT3GQjwgvcuEqNC/view?usp=drive_link" TargetMode="External"/><Relationship Id="rId10" Type="http://schemas.openxmlformats.org/officeDocument/2006/relationships/hyperlink" Target="http://www.fuward-hotel.com.tw/tainan/tw/about/" TargetMode="External"/><Relationship Id="rId13" Type="http://schemas.openxmlformats.org/officeDocument/2006/relationships/hyperlink" Target="https://drive.google.com/file/d/14AnWQ2Cy2cOqL_Sra8Z8ZTRNIDlPf8wn/view" TargetMode="External"/><Relationship Id="rId12" Type="http://schemas.openxmlformats.org/officeDocument/2006/relationships/hyperlink" Target="https://www.khhmarriott.com/" TargetMode="External"/><Relationship Id="rId15" Type="http://schemas.openxmlformats.org/officeDocument/2006/relationships/hyperlink" Target="https://www.hotel-tainan.com.tw/about/" TargetMode="External"/><Relationship Id="rId14" Type="http://schemas.openxmlformats.org/officeDocument/2006/relationships/hyperlink" Target="https://drive.google.com/file/d/1XjrGIiTpQ7QRlHdlJMSArWFrzPSpEyBB/view?usp=drive_link" TargetMode="External"/><Relationship Id="rId17" Type="http://schemas.openxmlformats.org/officeDocument/2006/relationships/hyperlink" Target="https://www.taipungsuites.com.tw/" TargetMode="External"/><Relationship Id="rId16" Type="http://schemas.openxmlformats.org/officeDocument/2006/relationships/hyperlink" Target="https://drive.google.com/file/d/1emmYP-lmQILyRu_mphPJPM5i3AAwP3GN/view?usp=drive_link" TargetMode="External"/><Relationship Id="rId19" Type="http://schemas.openxmlformats.org/officeDocument/2006/relationships/hyperlink" Target="https://www.kindness-hotel.com.tw/" TargetMode="External"/><Relationship Id="rId18" Type="http://schemas.openxmlformats.org/officeDocument/2006/relationships/hyperlink" Target="https://drive.google.com/file/d/1H6D1HwnJG-tfKMRL9EVW7nO2CSujEe42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nqOQ3q7uu1yZbEO0N8CTIiD1dfRrwLi/view?usp=drive_link" TargetMode="External"/><Relationship Id="rId2" Type="http://schemas.openxmlformats.org/officeDocument/2006/relationships/hyperlink" Target="https://drive.google.com/file/d/1s2pHUEjJKN7A5NzXgaNsriHijWAq9R6w/view?usp=drive_link" TargetMode="External"/><Relationship Id="rId3" Type="http://schemas.openxmlformats.org/officeDocument/2006/relationships/hyperlink" Target="https://www.naruwan-hotel.com.tw/tw_new/hotel-main.html" TargetMode="External"/><Relationship Id="rId4" Type="http://schemas.openxmlformats.org/officeDocument/2006/relationships/hyperlink" Target="https://drive.google.com/drive/folders/1oLylW7EZpLvCYjjbMQPF5KI-byg-3_Xr?usp=drive_link" TargetMode="External"/><Relationship Id="rId9" Type="http://schemas.openxmlformats.org/officeDocument/2006/relationships/hyperlink" Target="https://drive.google.com/drive/folders/1oLylW7EZpLvCYjjbMQPF5KI-byg-3_Xr?usp=drive_link" TargetMode="External"/><Relationship Id="rId5" Type="http://schemas.openxmlformats.org/officeDocument/2006/relationships/hyperlink" Target="https://drive.google.com/file/d/1myB_itnxPWrZ67axsbDj1-1RScCUWZ7s/view?usp=drive_link" TargetMode="External"/><Relationship Id="rId6" Type="http://schemas.openxmlformats.org/officeDocument/2006/relationships/hyperlink" Target="https://www.naruwan-inn.com.tw/New/tw_new/hotel-main.html" TargetMode="External"/><Relationship Id="rId7" Type="http://schemas.openxmlformats.org/officeDocument/2006/relationships/hyperlink" Target="https://drive.google.com/drive/folders/1oLylW7EZpLvCYjjbMQPF5KI-byg-3_Xr?usp=drive_link" TargetMode="External"/><Relationship Id="rId8" Type="http://schemas.openxmlformats.org/officeDocument/2006/relationships/hyperlink" Target="https://www.naruwan-garden.com.tw/New/tw_new/hotel-main.html" TargetMode="External"/><Relationship Id="rId11" Type="http://schemas.openxmlformats.org/officeDocument/2006/relationships/hyperlink" Target="https://drive.google.com/drive/folders/1oLylW7EZpLvCYjjbMQPF5KI-byg-3_Xr?usp=drive_link" TargetMode="External"/><Relationship Id="rId10" Type="http://schemas.openxmlformats.org/officeDocument/2006/relationships/hyperlink" Target="https://www.naruwan-galaxy-place.com.tw/New/tw_new/hotel-main.html" TargetMode="External"/><Relationship Id="rId13" Type="http://schemas.openxmlformats.org/officeDocument/2006/relationships/hyperlink" Target="https://drive.google.com/file/d/1_StyoaGs0CyTY1dHmjGucLOaNbaiECuL/view?usp=sharing" TargetMode="External"/><Relationship Id="rId12" Type="http://schemas.openxmlformats.org/officeDocument/2006/relationships/hyperlink" Target="https://www.tcfarm.com.tw/" TargetMode="External"/><Relationship Id="rId15" Type="http://schemas.openxmlformats.org/officeDocument/2006/relationships/hyperlink" Target="https://drive.google.com/file/d/1ToCD_naKa984j05n5D27PIyjGiyRT_gF/view?usp=drive_link" TargetMode="External"/><Relationship Id="rId14" Type="http://schemas.openxmlformats.org/officeDocument/2006/relationships/hyperlink" Target="https://www.kindness-hotel.com.tw/" TargetMode="External"/><Relationship Id="rId1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hina-airlines.com/tw/zh/" TargetMode="External"/><Relationship Id="rId2" Type="http://schemas.openxmlformats.org/officeDocument/2006/relationships/hyperlink" Target="https://drive.google.com/file/d/1N54P2C01HMBjHC3bKyCycXPTJgFQ4s0C/view?usp=drive_link" TargetMode="External"/><Relationship Id="rId3" Type="http://schemas.openxmlformats.org/officeDocument/2006/relationships/hyperlink" Target="https://drive.google.com/drive/folders/1XfNsIszVeRSrY_Zwu167iPQZqUDoD3hn?usp=share_link" TargetMode="External"/><Relationship Id="rId4" Type="http://schemas.openxmlformats.org/officeDocument/2006/relationships/hyperlink" Target="https://www.evaair.com/zh-tw/index.html" TargetMode="External"/><Relationship Id="rId9" Type="http://schemas.openxmlformats.org/officeDocument/2006/relationships/hyperlink" Target="https://www.travel4u.com.tw/" TargetMode="External"/><Relationship Id="rId5" Type="http://schemas.openxmlformats.org/officeDocument/2006/relationships/hyperlink" Target="https://www.evaair.com/zh-tw/index.html" TargetMode="External"/><Relationship Id="rId6" Type="http://schemas.openxmlformats.org/officeDocument/2006/relationships/hyperlink" Target="https://drive.google.com/drive/folders/1lxDzFmlRd8TIyD5BT1IKTGCQSrIM5tyD?usp=drive_link" TargetMode="External"/><Relationship Id="rId7" Type="http://schemas.openxmlformats.org/officeDocument/2006/relationships/hyperlink" Target="https://www.thsrc.com.tw/" TargetMode="External"/><Relationship Id="rId8" Type="http://schemas.openxmlformats.org/officeDocument/2006/relationships/hyperlink" Target="https://www.thsrc.com.tw/ArticleContent/b8cedefe-62fa-459e-9d1e-aac0e0f754a2" TargetMode="External"/><Relationship Id="rId11" Type="http://schemas.openxmlformats.org/officeDocument/2006/relationships/hyperlink" Target="https://drive.google.com/file/d/1pl0k93gkXEtuWPwihDHShFjz4I_xLMDG/view?usp=sharing" TargetMode="External"/><Relationship Id="rId10" Type="http://schemas.openxmlformats.org/officeDocument/2006/relationships/hyperlink" Target="https://drive.google.com/file/d/15T-bvmCAA73niKHXbr65U9V-zPrIaY4o/view?usp=share_link" TargetMode="External"/><Relationship Id="rId1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NBesmjN9-xI-LE0ASrsB51Js45HUb7X?usp=drive_link" TargetMode="External"/><Relationship Id="rId2" Type="http://schemas.openxmlformats.org/officeDocument/2006/relationships/hyperlink" Target="https://www.mamafisch.com.tw/" TargetMode="External"/><Relationship Id="rId3" Type="http://schemas.openxmlformats.org/officeDocument/2006/relationships/hyperlink" Target="https://www.ciaowin.com/" TargetMode="External"/><Relationship Id="rId4" Type="http://schemas.openxmlformats.org/officeDocument/2006/relationships/hyperlink" Target="https://www.google.com/maps/place/%E6%BD%AE%E5%91%B3%E6%B1%BA%E2%80%A7%E6%B9%AF%E6%BB%B7%E5%B0%88%E9%96%80%E5%BA%97+%E5%8F%B0%E5%8C%97%E5%85%AC%E9%A4%A8%E5%88%86%E7%A4%BE/@25.0160795,121.5319053,17z/data=!3m1!4b1!4m6!3m5!1s0x3442a9fd88510ec9:0x5ea3013146e52866!8m2!3d25.0160795!4d121.5319053!16s%2Fg%2F11qmm8jcc1?hl=zh-Hant-TW&amp;entry=ttu&amp;g_ep=EgoyMDI1MDYyOS4wIKXMDSoASAFQAw%3D%3D" TargetMode="External"/><Relationship Id="rId9" Type="http://schemas.openxmlformats.org/officeDocument/2006/relationships/hyperlink" Target="https://www.facebook.com/people/%E5%85%AD%E5%85%AD%E8%8C%B6%E5%AE%A4-Liuliu-Tea-Parlor/61563780043293/" TargetMode="External"/><Relationship Id="rId5" Type="http://schemas.openxmlformats.org/officeDocument/2006/relationships/hyperlink" Target="https://drive.google.com/file/d/1j8vanDk7Bw7G8xMtgzgZyLTMKayx8IkU/view?usp=drive_link" TargetMode="External"/><Relationship Id="rId6" Type="http://schemas.openxmlformats.org/officeDocument/2006/relationships/hyperlink" Target="https://food.wowisee.com/" TargetMode="External"/><Relationship Id="rId7" Type="http://schemas.openxmlformats.org/officeDocument/2006/relationships/hyperlink" Target="https://www.tartine.com.tw/" TargetMode="External"/><Relationship Id="rId8" Type="http://schemas.openxmlformats.org/officeDocument/2006/relationships/hyperlink" Target="https://drive.google.com/file/d/1BodQMXIk94VKHxrXz-z6dfCvkGA4DE-G/view?usp=drive_link" TargetMode="External"/><Relationship Id="rId11" Type="http://schemas.openxmlformats.org/officeDocument/2006/relationships/hyperlink" Target="http://google.com/maps/place/%E6%80%AA%E5%92%96%E5%B1%8BTHE+WACKO+HOUSE+Brunch+%26+Bar/@25.0211047,121.5232401,17z/data=!3m1!4b1!4m6!3m5!1s0x3442a96fa9706121:0xc74a5bfe23305b1b!8m2!3d25.0211047!4d121.5258204!16s%2Fg%2F11kjzb7v3y?entry=ttu&amp;g_ep=EgoyMDI1MTAxNC4wIKXMDSoASAFQAw%3D%3D" TargetMode="External"/><Relationship Id="rId10" Type="http://schemas.openxmlformats.org/officeDocument/2006/relationships/hyperlink" Target="https://drive.google.com/file/d/1ZcKDgfv_va50VhRHFU3cpWhQHf-WXqA0/view?usp=drive_link" TargetMode="External"/><Relationship Id="rId13" Type="http://schemas.openxmlformats.org/officeDocument/2006/relationships/hyperlink" Target="https://www.yustofu.com/" TargetMode="External"/><Relationship Id="rId12" Type="http://schemas.openxmlformats.org/officeDocument/2006/relationships/hyperlink" Target="https://drive.google.com/file/d/12S6sBoYz6WOpTGneMeDgHwGi98hjlsoQ/view?usp=drive_link" TargetMode="External"/><Relationship Id="rId15" Type="http://schemas.openxmlformats.org/officeDocument/2006/relationships/hyperlink" Target="https://www.facebook.com/GAKUDEN/posts/%E6%97%A9%E5%AE%89%E6%82%A8%E5%A5%BD%E5%B0%B1%E6%98%AF%E4%BB%8A%E5%A4%A9%EF%B8%8F%E6%A8%82%E7%94%B0%E9%BA%B5%E5%8C%85%E5%B1%8B%E5%8F%B0%E9%9B%BB%E5%A4%A7%E6%A8%93%E9%96%80%E5%B8%82312%E6%97%A9%E4%B8%8A700%E9%96%8B%E5%A7%8B%E8%A9%A6%E8%B3%A3%E5%9C%B0%E5%9D%80%E5%8F%B0%E5%8C%97%E5%B8%82%E7%BE%85%E6%96%AF%E7%A6%8F%E8%B7%AF%E4%B8%89%E6%AE%B5249%E8%99%9F%E5%8F%B0%E9%9B%BB%E5%A4%A7%E6%A8%93%E6%8D%B7%E9%81%8B%E7%AB%992%E8%99%9F%E5%87%BA%E5%8F%A3%E5%87%BA%E4%BE%86%E7%9B%B4%E8%A1%8C1%E5%88%86%E9%90%98%E9%9B%BB%E8%A9%B123621299/830652726961895/" TargetMode="External"/><Relationship Id="rId14" Type="http://schemas.openxmlformats.org/officeDocument/2006/relationships/hyperlink" Target="https://drive.google.com/file/d/1CL5RIgloaNbEnhL51iFZiOKOJS9bi_vN/view?usp=drive_link" TargetMode="External"/><Relationship Id="rId17" Type="http://schemas.openxmlformats.org/officeDocument/2006/relationships/hyperlink" Target="https://drive.google.com/file/d/1h4cXHrJ3uRa-lOxS43zgkryAyyN8iJBK/view?usp=drive_link" TargetMode="External"/><Relationship Id="rId16" Type="http://schemas.openxmlformats.org/officeDocument/2006/relationships/hyperlink" Target="https://ntueater.com/r/le-tian-mian-bao-wu" TargetMode="External"/><Relationship Id="rId1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tmall.com.tw/" TargetMode="External"/><Relationship Id="rId2" Type="http://schemas.openxmlformats.org/officeDocument/2006/relationships/hyperlink" Target="https://drive.google.com/drive/folders/1wEPFtC1SMyRFs_CIMbK4UMltyntiM0gy?usp=drive_link" TargetMode="External"/><Relationship Id="rId3" Type="http://schemas.openxmlformats.org/officeDocument/2006/relationships/hyperlink" Target="https://www.myfone.com.tw/emyfone/action/smgCampaignSale.do?fromMPlus=Y&amp;method=showLogin&amp;fromSessionCheck=true" TargetMode="External"/><Relationship Id="rId4" Type="http://schemas.openxmlformats.org/officeDocument/2006/relationships/hyperlink" Target="https://drive.google.com/drive/u/2/folders/18CHENitb3MKo--kPds1yuKjTFIV9Y4pv" TargetMode="External"/><Relationship Id="rId9" Type="http://schemas.openxmlformats.org/officeDocument/2006/relationships/hyperlink" Target="https://www.teco.com.tw/" TargetMode="External"/><Relationship Id="rId5" Type="http://schemas.openxmlformats.org/officeDocument/2006/relationships/hyperlink" Target="https://www.myfone.com.tw/emyfone/action/smgCampaignSale.do?fromMPlus=Y&amp;method=showLogin&amp;fromSessionCheck=true" TargetMode="External"/><Relationship Id="rId6" Type="http://schemas.openxmlformats.org/officeDocument/2006/relationships/hyperlink" Target="http://www.leecooutlet.com.tw/Brand/brandLife?id=4&amp;name=%E5%85%AC%E9%A4%A8%E5%BA%97&amp;dian_id=1" TargetMode="External"/><Relationship Id="rId7" Type="http://schemas.openxmlformats.org/officeDocument/2006/relationships/hyperlink" Target="http://www.leecooutlet.com.tw/index.php" TargetMode="External"/><Relationship Id="rId8" Type="http://schemas.openxmlformats.org/officeDocument/2006/relationships/hyperlink" Target="https://drive.google.com/drive/u/2/folders/1Z8iIYTqJzVDPWcDaEmEBx6oopKQsF4WU" TargetMode="External"/><Relationship Id="rId11" Type="http://schemas.openxmlformats.org/officeDocument/2006/relationships/hyperlink" Target="https://drive.google.com/file/d/17cp8vf6hr6oFGq6QKHJmQ1WzwacRdd-f/view?usp=drive_link" TargetMode="External"/><Relationship Id="rId10" Type="http://schemas.openxmlformats.org/officeDocument/2006/relationships/hyperlink" Target="https://drive.google.com/drive/u/2/folders/1UuwUg9eyyfd-IAqcLBI1N5Wa7Jq4eeom" TargetMode="External"/><Relationship Id="rId13" Type="http://schemas.openxmlformats.org/officeDocument/2006/relationships/hyperlink" Target="https://docs.google.com/forms/d/e/1FAIpQLSepfshMPaTeC_RA4iqKtUUvu9skCVMjgO6G0oJfhD_hXkioMg/viewform" TargetMode="External"/><Relationship Id="rId12" Type="http://schemas.openxmlformats.org/officeDocument/2006/relationships/hyperlink" Target="https://www.foodpanda.com.tw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docs.google.com/forms/d/e/1FAIpQLSepfshMPaTeC_RA4iqKtUUvu9skCVMjgO6G0oJfhD_hXkioMg/viewfor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baby29238352/" TargetMode="External"/><Relationship Id="rId2" Type="http://schemas.openxmlformats.org/officeDocument/2006/relationships/hyperlink" Target="https://drive.google.com/file/d/1DKjJ_5XL8yav6c65dQigfLVIu2JAve2t/view?usp=drive_link" TargetMode="External"/><Relationship Id="rId3" Type="http://schemas.openxmlformats.org/officeDocument/2006/relationships/hyperlink" Target="https://www.facebook.com/wordvicetaiwan/" TargetMode="External"/><Relationship Id="rId4" Type="http://schemas.openxmlformats.org/officeDocument/2006/relationships/hyperlink" Target="https://www.facebook.com/wordvicetaiwan/" TargetMode="External"/><Relationship Id="rId9" Type="http://schemas.openxmlformats.org/officeDocument/2006/relationships/hyperlink" Target="https://drive.google.com/file/d/1YE0Vzk0igxejZl0ZAx-tntPvrR6ERanE/view?usp=sharing" TargetMode="External"/><Relationship Id="rId5" Type="http://schemas.openxmlformats.org/officeDocument/2006/relationships/hyperlink" Target="https://wordvice.com.tw/" TargetMode="External"/><Relationship Id="rId6" Type="http://schemas.openxmlformats.org/officeDocument/2006/relationships/hyperlink" Target="https://www.novaisedit.com/" TargetMode="External"/><Relationship Id="rId7" Type="http://schemas.openxmlformats.org/officeDocument/2006/relationships/hyperlink" Target="http://www.novaisedit.com/" TargetMode="External"/><Relationship Id="rId8" Type="http://schemas.openxmlformats.org/officeDocument/2006/relationships/hyperlink" Target="https://www.fedex.com/zh-tw/campaign/getstarted.html" TargetMode="External"/><Relationship Id="rId11" Type="http://schemas.openxmlformats.org/officeDocument/2006/relationships/hyperlink" Target="https://drive.google.com/drive/folders/1kTHEerV2VV7sPMwRSe_0XAD5vOQD7jur?usp=drive_link" TargetMode="External"/><Relationship Id="rId10" Type="http://schemas.openxmlformats.org/officeDocument/2006/relationships/hyperlink" Target="https://www.facebook.com/people/SOS-Repair%E7%B6%AD%E4%BF%AE%E4%B8%AD%E5%BF%83/61578066173706/" TargetMode="External"/><Relationship Id="rId13" Type="http://schemas.openxmlformats.org/officeDocument/2006/relationships/hyperlink" Target="https://www.fubon.com/life/" TargetMode="External"/><Relationship Id="rId12" Type="http://schemas.openxmlformats.org/officeDocument/2006/relationships/hyperlink" Target="https://drive.google.com/file/d/1rwFVI6eSDW8DNxYeqvESJCQsZZ3ox4Qc/view?usp=drive_link" TargetMode="External"/><Relationship Id="rId15" Type="http://schemas.openxmlformats.org/officeDocument/2006/relationships/hyperlink" Target="https://drive.google.com/file/d/1nchvxBGRE4bsnj7fP6mnwtrtVJLAlERj/view?usp=drive_link" TargetMode="External"/><Relationship Id="rId14" Type="http://schemas.openxmlformats.org/officeDocument/2006/relationships/hyperlink" Target="https://drive.google.com/file/d/1IbQuA6LWv0tLbOMIeTTP_600O16kkQ7R/view?usp=drive_link" TargetMode="External"/><Relationship Id="rId17" Type="http://schemas.openxmlformats.org/officeDocument/2006/relationships/hyperlink" Target="https://page.line.me/888tkpxs?oat_content=url&amp;openQrModal=true" TargetMode="External"/><Relationship Id="rId16" Type="http://schemas.openxmlformats.org/officeDocument/2006/relationships/hyperlink" Target="https://www.luckycatresort.tw/" TargetMode="External"/><Relationship Id="rId19" Type="http://schemas.openxmlformats.org/officeDocument/2006/relationships/drawing" Target="../drawings/drawing9.xml"/><Relationship Id="rId18" Type="http://schemas.openxmlformats.org/officeDocument/2006/relationships/hyperlink" Target="https://drive.google.com/file/d/1ljM4iPaeILocsKUEGWjzI4dgwD4Efsu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1.22" defaultRowHeight="15.0"/>
  <cols>
    <col customWidth="1" min="1" max="1" width="171.44"/>
  </cols>
  <sheetData>
    <row r="1" ht="34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08.5" customHeight="1">
      <c r="A8" s="20" t="s">
        <v>11</v>
      </c>
      <c r="B8" s="3"/>
      <c r="C8" s="3"/>
      <c r="D8" s="3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3"/>
      <c r="C9" s="3"/>
      <c r="D9" s="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0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56"/>
      <c r="B47" s="3"/>
      <c r="C47" s="3"/>
      <c r="D47" s="3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56"/>
      <c r="B48" s="3"/>
      <c r="C48" s="3"/>
      <c r="D48" s="3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5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7"/>
      <c r="C903" s="7"/>
      <c r="D903" s="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7"/>
      <c r="C904" s="7"/>
      <c r="D904" s="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</sheetData>
  <hyperlinks>
    <hyperlink r:id="rId1" location="gid=0" ref="A5"/>
    <hyperlink r:id="rId2" ref="A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35.89"/>
    <col customWidth="1" min="2" max="2" width="84.22"/>
    <col customWidth="1" min="3" max="3" width="59.33"/>
    <col customWidth="1" min="4" max="4" width="14.44"/>
    <col customWidth="1" min="5" max="5" width="18.0"/>
    <col customWidth="1" min="6" max="6" width="8.0"/>
    <col customWidth="1" min="7" max="25" width="6.78"/>
  </cols>
  <sheetData>
    <row r="1">
      <c r="A1" s="1" t="s">
        <v>0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42.0" customHeight="1">
      <c r="A2" s="8" t="s">
        <v>2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6.25" customHeight="1">
      <c r="A3" s="11" t="s">
        <v>4</v>
      </c>
      <c r="B3" s="13" t="s">
        <v>5</v>
      </c>
      <c r="C3" s="13" t="s">
        <v>7</v>
      </c>
      <c r="D3" s="14" t="s">
        <v>8</v>
      </c>
      <c r="E3" s="14" t="s">
        <v>9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44.75" customHeight="1">
      <c r="A4" s="16" t="str">
        <f>HYPERLINK("http://www.fullon-hotels.com.tw/  ","福容大飯店
全台分館")</f>
        <v>福容大飯店
全台分館</v>
      </c>
      <c r="B4" s="19" t="s">
        <v>10</v>
      </c>
      <c r="C4" s="21" t="s">
        <v>12</v>
      </c>
      <c r="D4" s="22">
        <v>46387.0</v>
      </c>
      <c r="E4" s="23" t="s">
        <v>13</v>
      </c>
      <c r="F4" s="25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ht="141.75" customHeight="1">
      <c r="A5" s="32" t="s">
        <v>14</v>
      </c>
      <c r="B5" s="33" t="s">
        <v>16</v>
      </c>
      <c r="C5" s="36" t="s">
        <v>17</v>
      </c>
      <c r="D5" s="22">
        <v>46387.0</v>
      </c>
      <c r="E5" s="23" t="s">
        <v>13</v>
      </c>
      <c r="F5" s="3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ht="130.5" customHeight="1">
      <c r="A6" s="34" t="s">
        <v>21</v>
      </c>
      <c r="B6" s="35" t="s">
        <v>22</v>
      </c>
      <c r="C6" s="45" t="s">
        <v>23</v>
      </c>
      <c r="D6" s="22">
        <v>46387.0</v>
      </c>
      <c r="E6" s="46"/>
      <c r="F6" s="37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ht="131.25" customHeight="1">
      <c r="A7" s="32" t="s">
        <v>28</v>
      </c>
      <c r="B7" s="35" t="s">
        <v>30</v>
      </c>
      <c r="C7" s="39" t="s">
        <v>31</v>
      </c>
      <c r="D7" s="22">
        <v>46387.0</v>
      </c>
      <c r="E7" s="23" t="s">
        <v>13</v>
      </c>
      <c r="F7" s="37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ht="131.25" customHeight="1">
      <c r="A8" s="32" t="s">
        <v>34</v>
      </c>
      <c r="B8" s="33" t="s">
        <v>37</v>
      </c>
      <c r="C8" s="58" t="s">
        <v>38</v>
      </c>
      <c r="D8" s="22">
        <v>46387.0</v>
      </c>
      <c r="E8" s="59"/>
      <c r="F8" s="37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ht="126.0" customHeight="1">
      <c r="A9" s="34" t="s">
        <v>42</v>
      </c>
      <c r="B9" s="35" t="s">
        <v>44</v>
      </c>
      <c r="C9" s="45" t="s">
        <v>45</v>
      </c>
      <c r="D9" s="22">
        <v>46387.0</v>
      </c>
      <c r="E9" s="46"/>
      <c r="F9" s="37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ht="154.5" customHeight="1">
      <c r="A10" s="34" t="s">
        <v>48</v>
      </c>
      <c r="B10" s="66" t="s">
        <v>54</v>
      </c>
      <c r="C10" s="45" t="s">
        <v>55</v>
      </c>
      <c r="D10" s="61">
        <v>46386.0</v>
      </c>
      <c r="E10" s="46" t="s">
        <v>13</v>
      </c>
      <c r="F10" s="37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ht="154.5" customHeight="1">
      <c r="A11" s="32" t="str">
        <f>HYPERLINK("http://www.brotherhotel.com.tw/    ","兄弟大飯店")</f>
        <v>兄弟大飯店</v>
      </c>
      <c r="B11" s="67" t="s">
        <v>61</v>
      </c>
      <c r="C11" s="58" t="s">
        <v>64</v>
      </c>
      <c r="D11" s="61">
        <v>46386.0</v>
      </c>
      <c r="E11" s="59" t="s">
        <v>68</v>
      </c>
      <c r="F11" s="37" t="s">
        <v>69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ht="135.0" customHeight="1">
      <c r="A12" s="16" t="str">
        <f>HYPERLINK("http://www.thecornerhouse.com.tw/     ","安居台北")</f>
        <v>安居台北</v>
      </c>
      <c r="B12" s="74" t="s">
        <v>71</v>
      </c>
      <c r="C12" s="36" t="s">
        <v>72</v>
      </c>
      <c r="D12" s="22">
        <v>46387.0</v>
      </c>
      <c r="E12" s="77" t="s">
        <v>13</v>
      </c>
      <c r="F12" s="8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201.0" customHeight="1">
      <c r="A13" s="16" t="s">
        <v>76</v>
      </c>
      <c r="B13" s="82" t="s">
        <v>78</v>
      </c>
      <c r="C13" s="36" t="s">
        <v>82</v>
      </c>
      <c r="D13" s="22">
        <v>46387.0</v>
      </c>
      <c r="E13" s="87"/>
      <c r="F13" s="8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7.5" customHeight="1">
      <c r="A14" s="16" t="s">
        <v>85</v>
      </c>
      <c r="B14" s="92" t="s">
        <v>87</v>
      </c>
      <c r="C14" s="93" t="s">
        <v>88</v>
      </c>
      <c r="D14" s="22">
        <v>46387.0</v>
      </c>
      <c r="E14" s="77" t="s">
        <v>13</v>
      </c>
      <c r="F14" s="8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47.0" customHeight="1">
      <c r="A15" s="16" t="str">
        <f>HYPERLINK("http://www.khotel.com.tw/zh-TW/","柯達大飯店")</f>
        <v>柯達大飯店</v>
      </c>
      <c r="B15" s="94" t="s">
        <v>89</v>
      </c>
      <c r="C15" s="36" t="s">
        <v>90</v>
      </c>
      <c r="D15" s="22">
        <v>46387.0</v>
      </c>
      <c r="E15" s="95"/>
      <c r="F15" s="3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38.75" customHeight="1">
      <c r="A16" s="32" t="s">
        <v>92</v>
      </c>
      <c r="B16" s="97" t="s">
        <v>94</v>
      </c>
      <c r="C16" s="67" t="s">
        <v>95</v>
      </c>
      <c r="D16" s="22">
        <v>46387.0</v>
      </c>
      <c r="E16" s="23" t="s">
        <v>13</v>
      </c>
      <c r="F16" s="98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50.75" customHeight="1">
      <c r="A17" s="16" t="str">
        <f>HYPERLINK("http://www.hotelday.com.tw/hotel03.aspx","承億文旅")</f>
        <v>承億文旅</v>
      </c>
      <c r="B17" s="43" t="s">
        <v>24</v>
      </c>
      <c r="C17" s="47" t="s">
        <v>25</v>
      </c>
      <c r="D17" s="22">
        <v>46387.0</v>
      </c>
      <c r="E17" s="48"/>
      <c r="F17" s="8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48.25" customHeight="1">
      <c r="A18" s="101" t="s">
        <v>98</v>
      </c>
      <c r="B18" s="102" t="s">
        <v>99</v>
      </c>
      <c r="C18" s="103" t="s">
        <v>100</v>
      </c>
      <c r="D18" s="22">
        <v>46387.0</v>
      </c>
      <c r="E18" s="96" t="s">
        <v>13</v>
      </c>
      <c r="F18" s="37" t="s">
        <v>69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32.0" customHeight="1">
      <c r="A19" s="16" t="s">
        <v>101</v>
      </c>
      <c r="B19" s="19" t="s">
        <v>102</v>
      </c>
      <c r="C19" s="36" t="s">
        <v>103</v>
      </c>
      <c r="D19" s="61">
        <v>46373.0</v>
      </c>
      <c r="E19" s="77" t="s">
        <v>13</v>
      </c>
      <c r="F19" s="8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62.0" customHeight="1">
      <c r="A20" s="84" t="s">
        <v>104</v>
      </c>
      <c r="B20" s="91" t="s">
        <v>84</v>
      </c>
      <c r="C20" s="45" t="s">
        <v>86</v>
      </c>
      <c r="D20" s="22">
        <v>46387.0</v>
      </c>
      <c r="E20" s="81"/>
      <c r="F20" s="104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ht="142.5" customHeight="1">
      <c r="A21" s="105" t="s">
        <v>105</v>
      </c>
      <c r="B21" s="106" t="s">
        <v>106</v>
      </c>
      <c r="C21" s="107" t="s">
        <v>107</v>
      </c>
      <c r="D21" s="22">
        <v>46387.0</v>
      </c>
      <c r="E21" s="108" t="s">
        <v>13</v>
      </c>
      <c r="F21" s="104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ht="195.0" customHeight="1">
      <c r="A22" s="34" t="s">
        <v>108</v>
      </c>
      <c r="B22" s="109" t="s">
        <v>109</v>
      </c>
      <c r="C22" s="47" t="s">
        <v>110</v>
      </c>
      <c r="D22" s="22">
        <v>46387.0</v>
      </c>
      <c r="E22" s="110"/>
      <c r="F22" s="8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69.5" customHeight="1">
      <c r="A23" s="16" t="s">
        <v>111</v>
      </c>
      <c r="B23" s="19" t="s">
        <v>112</v>
      </c>
      <c r="C23" s="111" t="s">
        <v>113</v>
      </c>
      <c r="D23" s="22">
        <v>46387.0</v>
      </c>
      <c r="E23" s="112"/>
      <c r="F23" s="8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69.5" customHeight="1">
      <c r="A24" s="16" t="s">
        <v>114</v>
      </c>
      <c r="B24" s="113" t="s">
        <v>115</v>
      </c>
      <c r="C24" s="78" t="s">
        <v>116</v>
      </c>
      <c r="D24" s="22">
        <v>46387.0</v>
      </c>
      <c r="E24" s="49"/>
      <c r="F24" s="8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319.5" customHeight="1">
      <c r="A25" s="114" t="s">
        <v>117</v>
      </c>
      <c r="B25" s="115" t="s">
        <v>118</v>
      </c>
      <c r="C25" s="36" t="s">
        <v>119</v>
      </c>
      <c r="D25" s="116">
        <v>46387.0</v>
      </c>
      <c r="E25" s="117"/>
      <c r="F25" s="8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18"/>
      <c r="B26" s="119"/>
      <c r="C26" s="89"/>
      <c r="D26" s="120"/>
      <c r="E26" s="9"/>
      <c r="F26" s="8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18"/>
      <c r="B27" s="119"/>
      <c r="C27" s="89"/>
      <c r="D27" s="120"/>
      <c r="E27" s="9"/>
      <c r="F27" s="8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18"/>
      <c r="B28" s="119"/>
      <c r="C28" s="89"/>
      <c r="D28" s="120"/>
      <c r="E28" s="9"/>
      <c r="F28" s="8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18"/>
      <c r="B29" s="119"/>
      <c r="C29" s="89"/>
      <c r="D29" s="120"/>
      <c r="E29" s="9"/>
      <c r="F29" s="8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18"/>
      <c r="B30" s="119"/>
      <c r="C30" s="89"/>
      <c r="D30" s="120"/>
      <c r="E30" s="9"/>
      <c r="F30" s="8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118"/>
      <c r="B31" s="119"/>
      <c r="C31" s="89"/>
      <c r="D31" s="120"/>
      <c r="E31" s="9"/>
      <c r="F31" s="8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18"/>
      <c r="B32" s="119"/>
      <c r="C32" s="89"/>
      <c r="D32" s="120"/>
      <c r="E32" s="9"/>
      <c r="F32" s="8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118"/>
      <c r="B33" s="119"/>
      <c r="C33" s="89"/>
      <c r="D33" s="120"/>
      <c r="E33" s="9"/>
      <c r="F33" s="8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118"/>
      <c r="B34" s="119"/>
      <c r="C34" s="89"/>
      <c r="D34" s="120"/>
      <c r="E34" s="9"/>
      <c r="F34" s="8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118"/>
      <c r="B35" s="119"/>
      <c r="C35" s="89"/>
      <c r="D35" s="120"/>
      <c r="E35" s="9"/>
      <c r="F35" s="8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100"/>
      <c r="B36" s="119"/>
      <c r="C36" s="89"/>
      <c r="D36" s="120"/>
      <c r="E36" s="9"/>
      <c r="F36" s="8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100"/>
      <c r="B37" s="119"/>
      <c r="C37" s="89"/>
      <c r="D37" s="120"/>
      <c r="E37" s="9"/>
      <c r="F37" s="8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100"/>
      <c r="B38" s="119"/>
      <c r="C38" s="89"/>
      <c r="D38" s="120"/>
      <c r="E38" s="9"/>
      <c r="F38" s="8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100"/>
      <c r="B39" s="119"/>
      <c r="C39" s="89"/>
      <c r="D39" s="120"/>
      <c r="E39" s="9"/>
      <c r="F39" s="8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100"/>
      <c r="B40" s="119"/>
      <c r="C40" s="89"/>
      <c r="D40" s="120"/>
      <c r="E40" s="9"/>
      <c r="F40" s="8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100"/>
      <c r="B41" s="119"/>
      <c r="C41" s="89"/>
      <c r="D41" s="120"/>
      <c r="E41" s="9"/>
      <c r="F41" s="8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100"/>
      <c r="B42" s="119"/>
      <c r="C42" s="89"/>
      <c r="D42" s="120"/>
      <c r="E42" s="9"/>
      <c r="F42" s="8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100"/>
      <c r="B43" s="119"/>
      <c r="C43" s="89"/>
      <c r="D43" s="120"/>
      <c r="E43" s="9"/>
      <c r="F43" s="8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100"/>
      <c r="B44" s="119"/>
      <c r="C44" s="89"/>
      <c r="D44" s="120"/>
      <c r="E44" s="9"/>
      <c r="F44" s="8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100"/>
      <c r="B45" s="119"/>
      <c r="C45" s="89"/>
      <c r="D45" s="120"/>
      <c r="E45" s="9"/>
      <c r="F45" s="8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100"/>
      <c r="B46" s="119"/>
      <c r="C46" s="89"/>
      <c r="D46" s="120"/>
      <c r="E46" s="9"/>
      <c r="F46" s="8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100"/>
      <c r="B47" s="119"/>
      <c r="C47" s="89"/>
      <c r="D47" s="120"/>
      <c r="E47" s="9"/>
      <c r="F47" s="8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100"/>
      <c r="B48" s="119"/>
      <c r="C48" s="89"/>
      <c r="D48" s="120"/>
      <c r="E48" s="9"/>
      <c r="F48" s="8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100"/>
      <c r="B49" s="119"/>
      <c r="C49" s="89"/>
      <c r="D49" s="120"/>
      <c r="E49" s="9"/>
      <c r="F49" s="8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100"/>
      <c r="B50" s="119"/>
      <c r="C50" s="89"/>
      <c r="D50" s="120"/>
      <c r="E50" s="9"/>
      <c r="F50" s="8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100"/>
      <c r="B51" s="119"/>
      <c r="C51" s="89"/>
      <c r="D51" s="120"/>
      <c r="E51" s="9"/>
      <c r="F51" s="8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100"/>
      <c r="B52" s="119"/>
      <c r="C52" s="89"/>
      <c r="D52" s="120"/>
      <c r="E52" s="9"/>
      <c r="F52" s="8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100"/>
      <c r="B53" s="119"/>
      <c r="C53" s="89"/>
      <c r="D53" s="120"/>
      <c r="E53" s="9"/>
      <c r="F53" s="8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100"/>
      <c r="B54" s="119"/>
      <c r="C54" s="89"/>
      <c r="D54" s="120"/>
      <c r="E54" s="9"/>
      <c r="F54" s="8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100"/>
      <c r="B55" s="119"/>
      <c r="C55" s="89"/>
      <c r="D55" s="120"/>
      <c r="E55" s="9"/>
      <c r="F55" s="8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100"/>
      <c r="B56" s="119"/>
      <c r="C56" s="89"/>
      <c r="D56" s="120"/>
      <c r="E56" s="9"/>
      <c r="F56" s="8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100"/>
      <c r="B57" s="119"/>
      <c r="C57" s="89"/>
      <c r="D57" s="120"/>
      <c r="E57" s="9"/>
      <c r="F57" s="8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100"/>
      <c r="B58" s="119"/>
      <c r="C58" s="89"/>
      <c r="D58" s="120"/>
      <c r="E58" s="9"/>
      <c r="F58" s="8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100"/>
      <c r="B59" s="119"/>
      <c r="C59" s="89"/>
      <c r="D59" s="120"/>
      <c r="E59" s="9"/>
      <c r="F59" s="8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100"/>
      <c r="B60" s="119"/>
      <c r="C60" s="89"/>
      <c r="D60" s="120"/>
      <c r="E60" s="9"/>
      <c r="F60" s="8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100"/>
      <c r="B61" s="119"/>
      <c r="C61" s="89"/>
      <c r="D61" s="120"/>
      <c r="E61" s="9"/>
      <c r="F61" s="8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100"/>
      <c r="B62" s="119"/>
      <c r="C62" s="89"/>
      <c r="D62" s="120"/>
      <c r="E62" s="9"/>
      <c r="F62" s="8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100"/>
      <c r="B63" s="119"/>
      <c r="C63" s="89"/>
      <c r="D63" s="120"/>
      <c r="E63" s="9"/>
      <c r="F63" s="8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100"/>
      <c r="B64" s="119"/>
      <c r="C64" s="89"/>
      <c r="D64" s="120"/>
      <c r="E64" s="9"/>
      <c r="F64" s="8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100"/>
      <c r="B65" s="119"/>
      <c r="C65" s="89"/>
      <c r="D65" s="120"/>
      <c r="E65" s="9"/>
      <c r="F65" s="8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100"/>
      <c r="B66" s="119"/>
      <c r="C66" s="89"/>
      <c r="D66" s="120"/>
      <c r="E66" s="9"/>
      <c r="F66" s="8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100"/>
      <c r="B67" s="119"/>
      <c r="C67" s="89"/>
      <c r="D67" s="120"/>
      <c r="E67" s="9"/>
      <c r="F67" s="8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100"/>
      <c r="B68" s="119"/>
      <c r="C68" s="89"/>
      <c r="D68" s="120"/>
      <c r="E68" s="9"/>
      <c r="F68" s="8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100"/>
      <c r="B69" s="119"/>
      <c r="C69" s="89"/>
      <c r="D69" s="120"/>
      <c r="E69" s="9"/>
      <c r="F69" s="8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100"/>
      <c r="B70" s="119"/>
      <c r="C70" s="89"/>
      <c r="D70" s="120"/>
      <c r="E70" s="9"/>
      <c r="F70" s="8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100"/>
      <c r="B71" s="119"/>
      <c r="C71" s="89"/>
      <c r="D71" s="120"/>
      <c r="E71" s="9"/>
      <c r="F71" s="8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100"/>
      <c r="B72" s="119"/>
      <c r="C72" s="89"/>
      <c r="D72" s="120"/>
      <c r="E72" s="9"/>
      <c r="F72" s="8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100"/>
      <c r="B73" s="119"/>
      <c r="C73" s="89"/>
      <c r="D73" s="120"/>
      <c r="E73" s="9"/>
      <c r="F73" s="8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100"/>
      <c r="B74" s="119"/>
      <c r="C74" s="89"/>
      <c r="D74" s="120"/>
      <c r="E74" s="9"/>
      <c r="F74" s="8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100"/>
      <c r="B75" s="119"/>
      <c r="C75" s="89"/>
      <c r="D75" s="120"/>
      <c r="E75" s="9"/>
      <c r="F75" s="8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100"/>
      <c r="B76" s="119"/>
      <c r="C76" s="89"/>
      <c r="D76" s="120"/>
      <c r="E76" s="9"/>
      <c r="F76" s="8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100"/>
      <c r="B77" s="119"/>
      <c r="C77" s="89"/>
      <c r="D77" s="120"/>
      <c r="E77" s="9"/>
      <c r="F77" s="8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100"/>
      <c r="B78" s="119"/>
      <c r="C78" s="89"/>
      <c r="D78" s="120"/>
      <c r="E78" s="9"/>
      <c r="F78" s="8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100"/>
      <c r="B79" s="119"/>
      <c r="C79" s="89"/>
      <c r="D79" s="120"/>
      <c r="E79" s="9"/>
      <c r="F79" s="8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100"/>
      <c r="B80" s="119"/>
      <c r="C80" s="89"/>
      <c r="D80" s="120"/>
      <c r="E80" s="9"/>
      <c r="F80" s="8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100"/>
      <c r="B81" s="119"/>
      <c r="C81" s="89"/>
      <c r="D81" s="120"/>
      <c r="E81" s="9"/>
      <c r="F81" s="8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100"/>
      <c r="B82" s="119"/>
      <c r="C82" s="89"/>
      <c r="D82" s="120"/>
      <c r="E82" s="9"/>
      <c r="F82" s="8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100"/>
      <c r="B83" s="119"/>
      <c r="C83" s="89"/>
      <c r="D83" s="120"/>
      <c r="E83" s="9"/>
      <c r="F83" s="8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100"/>
      <c r="B84" s="119"/>
      <c r="C84" s="89"/>
      <c r="D84" s="120"/>
      <c r="E84" s="9"/>
      <c r="F84" s="8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100"/>
      <c r="B85" s="119"/>
      <c r="C85" s="89"/>
      <c r="D85" s="120"/>
      <c r="E85" s="9"/>
      <c r="F85" s="8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100"/>
      <c r="B86" s="119"/>
      <c r="C86" s="89"/>
      <c r="D86" s="120"/>
      <c r="E86" s="9"/>
      <c r="F86" s="8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100"/>
      <c r="B87" s="119"/>
      <c r="C87" s="89"/>
      <c r="D87" s="120"/>
      <c r="E87" s="9"/>
      <c r="F87" s="8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100"/>
      <c r="B88" s="119"/>
      <c r="C88" s="89"/>
      <c r="D88" s="120"/>
      <c r="E88" s="9"/>
      <c r="F88" s="8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100"/>
      <c r="B89" s="119"/>
      <c r="C89" s="89"/>
      <c r="D89" s="120"/>
      <c r="E89" s="9"/>
      <c r="F89" s="8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100"/>
      <c r="B90" s="119"/>
      <c r="C90" s="89"/>
      <c r="D90" s="120"/>
      <c r="E90" s="9"/>
      <c r="F90" s="8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100"/>
      <c r="B91" s="119"/>
      <c r="C91" s="89"/>
      <c r="D91" s="120"/>
      <c r="E91" s="9"/>
      <c r="F91" s="8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100"/>
      <c r="B92" s="119"/>
      <c r="C92" s="89"/>
      <c r="D92" s="120"/>
      <c r="E92" s="9"/>
      <c r="F92" s="8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100"/>
      <c r="B93" s="119"/>
      <c r="C93" s="89"/>
      <c r="D93" s="120"/>
      <c r="E93" s="9"/>
      <c r="F93" s="8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100"/>
      <c r="B94" s="119"/>
      <c r="C94" s="89"/>
      <c r="D94" s="120"/>
      <c r="E94" s="9"/>
      <c r="F94" s="8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100"/>
      <c r="B95" s="119"/>
      <c r="C95" s="89"/>
      <c r="D95" s="120"/>
      <c r="E95" s="9"/>
      <c r="F95" s="8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100"/>
      <c r="B96" s="119"/>
      <c r="C96" s="89"/>
      <c r="D96" s="120"/>
      <c r="E96" s="9"/>
      <c r="F96" s="8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100"/>
      <c r="B97" s="119"/>
      <c r="C97" s="89"/>
      <c r="D97" s="120"/>
      <c r="E97" s="9"/>
      <c r="F97" s="8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100"/>
      <c r="B98" s="119"/>
      <c r="C98" s="89"/>
      <c r="D98" s="120"/>
      <c r="E98" s="9"/>
      <c r="F98" s="8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100"/>
      <c r="B99" s="119"/>
      <c r="C99" s="89"/>
      <c r="D99" s="120"/>
      <c r="E99" s="9"/>
      <c r="F99" s="8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100"/>
      <c r="B100" s="119"/>
      <c r="C100" s="89"/>
      <c r="D100" s="120"/>
      <c r="E100" s="9"/>
      <c r="F100" s="8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100"/>
      <c r="B101" s="119"/>
      <c r="C101" s="89"/>
      <c r="D101" s="120"/>
      <c r="E101" s="9"/>
      <c r="F101" s="8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100"/>
      <c r="B102" s="119"/>
      <c r="C102" s="89"/>
      <c r="D102" s="120"/>
      <c r="E102" s="9"/>
      <c r="F102" s="8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00"/>
      <c r="B103" s="119"/>
      <c r="C103" s="89"/>
      <c r="D103" s="120"/>
      <c r="E103" s="9"/>
      <c r="F103" s="8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100"/>
      <c r="B104" s="119"/>
      <c r="C104" s="89"/>
      <c r="D104" s="120"/>
      <c r="E104" s="9"/>
      <c r="F104" s="8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100"/>
      <c r="B105" s="119"/>
      <c r="C105" s="89"/>
      <c r="D105" s="120"/>
      <c r="E105" s="9"/>
      <c r="F105" s="8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100"/>
      <c r="B106" s="119"/>
      <c r="C106" s="89"/>
      <c r="D106" s="120"/>
      <c r="E106" s="9"/>
      <c r="F106" s="8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100"/>
      <c r="B107" s="119"/>
      <c r="C107" s="89"/>
      <c r="D107" s="120"/>
      <c r="E107" s="9"/>
      <c r="F107" s="8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100"/>
      <c r="B108" s="119"/>
      <c r="C108" s="89"/>
      <c r="D108" s="120"/>
      <c r="E108" s="9"/>
      <c r="F108" s="8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100"/>
      <c r="B109" s="119"/>
      <c r="C109" s="89"/>
      <c r="D109" s="120"/>
      <c r="E109" s="9"/>
      <c r="F109" s="8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00"/>
      <c r="B110" s="119"/>
      <c r="C110" s="89"/>
      <c r="D110" s="120"/>
      <c r="E110" s="9"/>
      <c r="F110" s="8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00"/>
      <c r="B111" s="119"/>
      <c r="C111" s="89"/>
      <c r="D111" s="120"/>
      <c r="E111" s="9"/>
      <c r="F111" s="8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100"/>
      <c r="B112" s="119"/>
      <c r="C112" s="89"/>
      <c r="D112" s="120"/>
      <c r="E112" s="9"/>
      <c r="F112" s="8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00"/>
      <c r="B113" s="119"/>
      <c r="C113" s="89"/>
      <c r="D113" s="120"/>
      <c r="E113" s="9"/>
      <c r="F113" s="8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00"/>
      <c r="B114" s="119"/>
      <c r="C114" s="89"/>
      <c r="D114" s="120"/>
      <c r="E114" s="9"/>
      <c r="F114" s="8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00"/>
      <c r="B115" s="119"/>
      <c r="C115" s="89"/>
      <c r="D115" s="120"/>
      <c r="E115" s="9"/>
      <c r="F115" s="8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00"/>
      <c r="B116" s="119"/>
      <c r="C116" s="89"/>
      <c r="D116" s="120"/>
      <c r="E116" s="9"/>
      <c r="F116" s="8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00"/>
      <c r="B117" s="119"/>
      <c r="C117" s="89"/>
      <c r="D117" s="120"/>
      <c r="E117" s="9"/>
      <c r="F117" s="8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00"/>
      <c r="B118" s="119"/>
      <c r="C118" s="89"/>
      <c r="D118" s="120"/>
      <c r="E118" s="9"/>
      <c r="F118" s="8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100"/>
      <c r="B119" s="119"/>
      <c r="C119" s="89"/>
      <c r="D119" s="120"/>
      <c r="E119" s="9"/>
      <c r="F119" s="8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00"/>
      <c r="B120" s="119"/>
      <c r="C120" s="89"/>
      <c r="D120" s="120"/>
      <c r="E120" s="9"/>
      <c r="F120" s="8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00"/>
      <c r="B121" s="119"/>
      <c r="C121" s="89"/>
      <c r="D121" s="120"/>
      <c r="E121" s="9"/>
      <c r="F121" s="8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00"/>
      <c r="B122" s="119"/>
      <c r="C122" s="89"/>
      <c r="D122" s="120"/>
      <c r="E122" s="9"/>
      <c r="F122" s="8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100"/>
      <c r="B123" s="119"/>
      <c r="C123" s="89"/>
      <c r="D123" s="120"/>
      <c r="E123" s="9"/>
      <c r="F123" s="8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00"/>
      <c r="B124" s="119"/>
      <c r="C124" s="89"/>
      <c r="D124" s="120"/>
      <c r="E124" s="9"/>
      <c r="F124" s="8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00"/>
      <c r="B125" s="119"/>
      <c r="C125" s="89"/>
      <c r="D125" s="120"/>
      <c r="E125" s="9"/>
      <c r="F125" s="8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00"/>
      <c r="B126" s="119"/>
      <c r="C126" s="89"/>
      <c r="D126" s="120"/>
      <c r="E126" s="9"/>
      <c r="F126" s="8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00"/>
      <c r="B127" s="119"/>
      <c r="C127" s="89"/>
      <c r="D127" s="120"/>
      <c r="E127" s="9"/>
      <c r="F127" s="8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00"/>
      <c r="B128" s="119"/>
      <c r="C128" s="89"/>
      <c r="D128" s="120"/>
      <c r="E128" s="9"/>
      <c r="F128" s="8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00"/>
      <c r="B129" s="119"/>
      <c r="C129" s="89"/>
      <c r="D129" s="120"/>
      <c r="E129" s="9"/>
      <c r="F129" s="8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100"/>
      <c r="B130" s="119"/>
      <c r="C130" s="89"/>
      <c r="D130" s="120"/>
      <c r="E130" s="9"/>
      <c r="F130" s="8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00"/>
      <c r="B131" s="119"/>
      <c r="C131" s="89"/>
      <c r="D131" s="120"/>
      <c r="E131" s="9"/>
      <c r="F131" s="8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00"/>
      <c r="B132" s="119"/>
      <c r="C132" s="89"/>
      <c r="D132" s="120"/>
      <c r="E132" s="9"/>
      <c r="F132" s="8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00"/>
      <c r="B133" s="119"/>
      <c r="C133" s="89"/>
      <c r="D133" s="120"/>
      <c r="E133" s="9"/>
      <c r="F133" s="8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100"/>
      <c r="B134" s="119"/>
      <c r="C134" s="89"/>
      <c r="D134" s="120"/>
      <c r="E134" s="9"/>
      <c r="F134" s="8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00"/>
      <c r="B135" s="119"/>
      <c r="C135" s="89"/>
      <c r="D135" s="120"/>
      <c r="E135" s="9"/>
      <c r="F135" s="8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00"/>
      <c r="B136" s="119"/>
      <c r="C136" s="89"/>
      <c r="D136" s="120"/>
      <c r="E136" s="9"/>
      <c r="F136" s="8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00"/>
      <c r="B137" s="119"/>
      <c r="C137" s="89"/>
      <c r="D137" s="120"/>
      <c r="E137" s="9"/>
      <c r="F137" s="8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00"/>
      <c r="B138" s="119"/>
      <c r="C138" s="89"/>
      <c r="D138" s="120"/>
      <c r="E138" s="9"/>
      <c r="F138" s="8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00"/>
      <c r="B139" s="119"/>
      <c r="C139" s="89"/>
      <c r="D139" s="120"/>
      <c r="E139" s="9"/>
      <c r="F139" s="8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00"/>
      <c r="B140" s="119"/>
      <c r="C140" s="89"/>
      <c r="D140" s="120"/>
      <c r="E140" s="9"/>
      <c r="F140" s="8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100"/>
      <c r="B141" s="119"/>
      <c r="C141" s="89"/>
      <c r="D141" s="120"/>
      <c r="E141" s="9"/>
      <c r="F141" s="8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00"/>
      <c r="B142" s="119"/>
      <c r="C142" s="89"/>
      <c r="D142" s="120"/>
      <c r="E142" s="9"/>
      <c r="F142" s="8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00"/>
      <c r="B143" s="119"/>
      <c r="C143" s="89"/>
      <c r="D143" s="120"/>
      <c r="E143" s="9"/>
      <c r="F143" s="8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00"/>
      <c r="B144" s="119"/>
      <c r="C144" s="89"/>
      <c r="D144" s="120"/>
      <c r="E144" s="9"/>
      <c r="F144" s="8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100"/>
      <c r="B145" s="119"/>
      <c r="C145" s="89"/>
      <c r="D145" s="120"/>
      <c r="E145" s="9"/>
      <c r="F145" s="8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00"/>
      <c r="B146" s="119"/>
      <c r="C146" s="89"/>
      <c r="D146" s="120"/>
      <c r="E146" s="9"/>
      <c r="F146" s="8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00"/>
      <c r="B147" s="119"/>
      <c r="C147" s="89"/>
      <c r="D147" s="120"/>
      <c r="E147" s="9"/>
      <c r="F147" s="8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00"/>
      <c r="B148" s="119"/>
      <c r="C148" s="89"/>
      <c r="D148" s="120"/>
      <c r="E148" s="9"/>
      <c r="F148" s="8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00"/>
      <c r="B149" s="119"/>
      <c r="C149" s="89"/>
      <c r="D149" s="120"/>
      <c r="E149" s="9"/>
      <c r="F149" s="8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00"/>
      <c r="B150" s="119"/>
      <c r="C150" s="89"/>
      <c r="D150" s="120"/>
      <c r="E150" s="9"/>
      <c r="F150" s="8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00"/>
      <c r="B151" s="119"/>
      <c r="C151" s="89"/>
      <c r="D151" s="120"/>
      <c r="E151" s="9"/>
      <c r="F151" s="8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100"/>
      <c r="B152" s="119"/>
      <c r="C152" s="89"/>
      <c r="D152" s="120"/>
      <c r="E152" s="9"/>
      <c r="F152" s="8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00"/>
      <c r="B153" s="119"/>
      <c r="C153" s="89"/>
      <c r="D153" s="120"/>
      <c r="E153" s="9"/>
      <c r="F153" s="8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00"/>
      <c r="B154" s="119"/>
      <c r="C154" s="89"/>
      <c r="D154" s="120"/>
      <c r="E154" s="9"/>
      <c r="F154" s="8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00"/>
      <c r="B155" s="119"/>
      <c r="C155" s="89"/>
      <c r="D155" s="120"/>
      <c r="E155" s="9"/>
      <c r="F155" s="8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100"/>
      <c r="B156" s="119"/>
      <c r="C156" s="89"/>
      <c r="D156" s="120"/>
      <c r="E156" s="9"/>
      <c r="F156" s="8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100"/>
      <c r="B157" s="119"/>
      <c r="C157" s="89"/>
      <c r="D157" s="120"/>
      <c r="E157" s="9"/>
      <c r="F157" s="8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00"/>
      <c r="B158" s="119"/>
      <c r="C158" s="89"/>
      <c r="D158" s="120"/>
      <c r="E158" s="9"/>
      <c r="F158" s="8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00"/>
      <c r="B159" s="119"/>
      <c r="C159" s="89"/>
      <c r="D159" s="120"/>
      <c r="E159" s="9"/>
      <c r="F159" s="8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00"/>
      <c r="B160" s="119"/>
      <c r="C160" s="89"/>
      <c r="D160" s="120"/>
      <c r="E160" s="9"/>
      <c r="F160" s="8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00"/>
      <c r="B161" s="119"/>
      <c r="C161" s="89"/>
      <c r="D161" s="120"/>
      <c r="E161" s="9"/>
      <c r="F161" s="8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00"/>
      <c r="B162" s="119"/>
      <c r="C162" s="89"/>
      <c r="D162" s="120"/>
      <c r="E162" s="9"/>
      <c r="F162" s="8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100"/>
      <c r="B163" s="119"/>
      <c r="C163" s="89"/>
      <c r="D163" s="120"/>
      <c r="E163" s="9"/>
      <c r="F163" s="8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00"/>
      <c r="B164" s="119"/>
      <c r="C164" s="89"/>
      <c r="D164" s="120"/>
      <c r="E164" s="9"/>
      <c r="F164" s="8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00"/>
      <c r="B165" s="119"/>
      <c r="C165" s="89"/>
      <c r="D165" s="120"/>
      <c r="E165" s="9"/>
      <c r="F165" s="8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00"/>
      <c r="B166" s="119"/>
      <c r="C166" s="89"/>
      <c r="D166" s="120"/>
      <c r="E166" s="9"/>
      <c r="F166" s="8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100"/>
      <c r="B167" s="119"/>
      <c r="C167" s="89"/>
      <c r="D167" s="120"/>
      <c r="E167" s="9"/>
      <c r="F167" s="8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00"/>
      <c r="B168" s="119"/>
      <c r="C168" s="89"/>
      <c r="D168" s="120"/>
      <c r="E168" s="9"/>
      <c r="F168" s="8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00"/>
      <c r="B169" s="119"/>
      <c r="C169" s="89"/>
      <c r="D169" s="120"/>
      <c r="E169" s="9"/>
      <c r="F169" s="8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00"/>
      <c r="B170" s="119"/>
      <c r="C170" s="89"/>
      <c r="D170" s="120"/>
      <c r="E170" s="9"/>
      <c r="F170" s="8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00"/>
      <c r="B171" s="119"/>
      <c r="C171" s="89"/>
      <c r="D171" s="120"/>
      <c r="E171" s="9"/>
      <c r="F171" s="8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00"/>
      <c r="B172" s="119"/>
      <c r="C172" s="89"/>
      <c r="D172" s="120"/>
      <c r="E172" s="9"/>
      <c r="F172" s="8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00"/>
      <c r="B173" s="119"/>
      <c r="C173" s="89"/>
      <c r="D173" s="120"/>
      <c r="E173" s="9"/>
      <c r="F173" s="8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100"/>
      <c r="B174" s="119"/>
      <c r="C174" s="89"/>
      <c r="D174" s="120"/>
      <c r="E174" s="9"/>
      <c r="F174" s="8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00"/>
      <c r="B175" s="119"/>
      <c r="C175" s="89"/>
      <c r="D175" s="120"/>
      <c r="E175" s="9"/>
      <c r="F175" s="8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00"/>
      <c r="B176" s="119"/>
      <c r="C176" s="89"/>
      <c r="D176" s="120"/>
      <c r="E176" s="9"/>
      <c r="F176" s="8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00"/>
      <c r="B177" s="119"/>
      <c r="C177" s="89"/>
      <c r="D177" s="120"/>
      <c r="E177" s="9"/>
      <c r="F177" s="8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100"/>
      <c r="B178" s="119"/>
      <c r="C178" s="89"/>
      <c r="D178" s="120"/>
      <c r="E178" s="9"/>
      <c r="F178" s="8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00"/>
      <c r="B179" s="119"/>
      <c r="C179" s="89"/>
      <c r="D179" s="120"/>
      <c r="E179" s="9"/>
      <c r="F179" s="8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00"/>
      <c r="B180" s="119"/>
      <c r="C180" s="89"/>
      <c r="D180" s="120"/>
      <c r="E180" s="9"/>
      <c r="F180" s="8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00"/>
      <c r="B181" s="119"/>
      <c r="C181" s="89"/>
      <c r="D181" s="120"/>
      <c r="E181" s="9"/>
      <c r="F181" s="8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00"/>
      <c r="B182" s="119"/>
      <c r="C182" s="89"/>
      <c r="D182" s="120"/>
      <c r="E182" s="9"/>
      <c r="F182" s="8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00"/>
      <c r="B183" s="119"/>
      <c r="C183" s="89"/>
      <c r="D183" s="120"/>
      <c r="E183" s="9"/>
      <c r="F183" s="8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00"/>
      <c r="B184" s="119"/>
      <c r="C184" s="89"/>
      <c r="D184" s="120"/>
      <c r="E184" s="9"/>
      <c r="F184" s="8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100"/>
      <c r="B185" s="119"/>
      <c r="C185" s="89"/>
      <c r="D185" s="120"/>
      <c r="E185" s="9"/>
      <c r="F185" s="8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00"/>
      <c r="B186" s="119"/>
      <c r="C186" s="89"/>
      <c r="D186" s="120"/>
      <c r="E186" s="9"/>
      <c r="F186" s="8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00"/>
      <c r="B187" s="119"/>
      <c r="C187" s="89"/>
      <c r="D187" s="120"/>
      <c r="E187" s="9"/>
      <c r="F187" s="8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00"/>
      <c r="B188" s="119"/>
      <c r="C188" s="89"/>
      <c r="D188" s="120"/>
      <c r="E188" s="9"/>
      <c r="F188" s="8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100"/>
      <c r="B189" s="119"/>
      <c r="C189" s="89"/>
      <c r="D189" s="120"/>
      <c r="E189" s="9"/>
      <c r="F189" s="8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00"/>
      <c r="B190" s="119"/>
      <c r="C190" s="89"/>
      <c r="D190" s="120"/>
      <c r="E190" s="9"/>
      <c r="F190" s="8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00"/>
      <c r="B191" s="119"/>
      <c r="C191" s="89"/>
      <c r="D191" s="120"/>
      <c r="E191" s="9"/>
      <c r="F191" s="8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00"/>
      <c r="B192" s="119"/>
      <c r="C192" s="89"/>
      <c r="D192" s="120"/>
      <c r="E192" s="9"/>
      <c r="F192" s="8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00"/>
      <c r="B193" s="119"/>
      <c r="C193" s="89"/>
      <c r="D193" s="120"/>
      <c r="E193" s="9"/>
      <c r="F193" s="8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00"/>
      <c r="B194" s="119"/>
      <c r="C194" s="89"/>
      <c r="D194" s="120"/>
      <c r="E194" s="9"/>
      <c r="F194" s="8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00"/>
      <c r="B195" s="119"/>
      <c r="C195" s="89"/>
      <c r="D195" s="120"/>
      <c r="E195" s="9"/>
      <c r="F195" s="8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100"/>
      <c r="B196" s="119"/>
      <c r="C196" s="89"/>
      <c r="D196" s="120"/>
      <c r="E196" s="9"/>
      <c r="F196" s="8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00"/>
      <c r="B197" s="119"/>
      <c r="C197" s="89"/>
      <c r="D197" s="120"/>
      <c r="E197" s="9"/>
      <c r="F197" s="8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00"/>
      <c r="B198" s="119"/>
      <c r="C198" s="89"/>
      <c r="D198" s="120"/>
      <c r="E198" s="9"/>
      <c r="F198" s="8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00"/>
      <c r="B199" s="119"/>
      <c r="C199" s="89"/>
      <c r="D199" s="120"/>
      <c r="E199" s="9"/>
      <c r="F199" s="8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100"/>
      <c r="B200" s="119"/>
      <c r="C200" s="89"/>
      <c r="D200" s="120"/>
      <c r="E200" s="9"/>
      <c r="F200" s="8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00"/>
      <c r="B201" s="119"/>
      <c r="C201" s="89"/>
      <c r="D201" s="120"/>
      <c r="E201" s="9"/>
      <c r="F201" s="8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00"/>
      <c r="B202" s="119"/>
      <c r="C202" s="89"/>
      <c r="D202" s="120"/>
      <c r="E202" s="9"/>
      <c r="F202" s="8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00"/>
      <c r="B203" s="119"/>
      <c r="C203" s="89"/>
      <c r="D203" s="120"/>
      <c r="E203" s="9"/>
      <c r="F203" s="8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00"/>
      <c r="B204" s="119"/>
      <c r="C204" s="89"/>
      <c r="D204" s="120"/>
      <c r="E204" s="9"/>
      <c r="F204" s="8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00"/>
      <c r="B205" s="119"/>
      <c r="C205" s="89"/>
      <c r="D205" s="120"/>
      <c r="E205" s="9"/>
      <c r="F205" s="8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00"/>
      <c r="B206" s="119"/>
      <c r="C206" s="89"/>
      <c r="D206" s="120"/>
      <c r="E206" s="9"/>
      <c r="F206" s="8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100"/>
      <c r="B207" s="119"/>
      <c r="C207" s="89"/>
      <c r="D207" s="120"/>
      <c r="E207" s="9"/>
      <c r="F207" s="8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100"/>
      <c r="B208" s="119"/>
      <c r="C208" s="89"/>
      <c r="D208" s="120"/>
      <c r="E208" s="9"/>
      <c r="F208" s="8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00"/>
      <c r="B209" s="119"/>
      <c r="C209" s="89"/>
      <c r="D209" s="120"/>
      <c r="E209" s="9"/>
      <c r="F209" s="8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00"/>
      <c r="B210" s="119"/>
      <c r="C210" s="89"/>
      <c r="D210" s="120"/>
      <c r="E210" s="9"/>
      <c r="F210" s="8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100"/>
      <c r="B211" s="119"/>
      <c r="C211" s="89"/>
      <c r="D211" s="120"/>
      <c r="E211" s="9"/>
      <c r="F211" s="8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00"/>
      <c r="B212" s="119"/>
      <c r="C212" s="89"/>
      <c r="D212" s="120"/>
      <c r="E212" s="9"/>
      <c r="F212" s="8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00"/>
      <c r="B213" s="119"/>
      <c r="C213" s="89"/>
      <c r="D213" s="120"/>
      <c r="E213" s="9"/>
      <c r="F213" s="8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00"/>
      <c r="B214" s="119"/>
      <c r="C214" s="89"/>
      <c r="D214" s="120"/>
      <c r="E214" s="9"/>
      <c r="F214" s="8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00"/>
      <c r="B215" s="119"/>
      <c r="C215" s="89"/>
      <c r="D215" s="120"/>
      <c r="E215" s="9"/>
      <c r="F215" s="8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00"/>
      <c r="B216" s="119"/>
      <c r="C216" s="89"/>
      <c r="D216" s="120"/>
      <c r="E216" s="9"/>
      <c r="F216" s="8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00"/>
      <c r="B217" s="119"/>
      <c r="C217" s="89"/>
      <c r="D217" s="120"/>
      <c r="E217" s="9"/>
      <c r="F217" s="8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100"/>
      <c r="B218" s="119"/>
      <c r="C218" s="89"/>
      <c r="D218" s="120"/>
      <c r="E218" s="9"/>
      <c r="F218" s="8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00"/>
      <c r="B219" s="119"/>
      <c r="C219" s="89"/>
      <c r="D219" s="120"/>
      <c r="E219" s="9"/>
      <c r="F219" s="8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00"/>
      <c r="B220" s="119"/>
      <c r="C220" s="89"/>
      <c r="D220" s="120"/>
      <c r="E220" s="9"/>
      <c r="F220" s="8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100"/>
      <c r="B221" s="119"/>
      <c r="C221" s="89"/>
      <c r="D221" s="120"/>
      <c r="E221" s="9"/>
      <c r="F221" s="8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100"/>
      <c r="B222" s="119"/>
      <c r="C222" s="89"/>
      <c r="D222" s="120"/>
      <c r="E222" s="9"/>
      <c r="F222" s="8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100"/>
      <c r="B223" s="119"/>
      <c r="C223" s="89"/>
      <c r="D223" s="120"/>
      <c r="E223" s="9"/>
      <c r="F223" s="8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100"/>
      <c r="B224" s="119"/>
      <c r="C224" s="89"/>
      <c r="D224" s="120"/>
      <c r="E224" s="9"/>
      <c r="F224" s="8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100"/>
      <c r="B225" s="119"/>
      <c r="C225" s="89"/>
      <c r="D225" s="120"/>
      <c r="E225" s="9"/>
      <c r="F225" s="8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100"/>
      <c r="B226" s="119"/>
      <c r="C226" s="89"/>
      <c r="D226" s="120"/>
      <c r="E226" s="9"/>
      <c r="F226" s="8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100"/>
      <c r="B227" s="119"/>
      <c r="C227" s="89"/>
      <c r="D227" s="120"/>
      <c r="E227" s="9"/>
      <c r="F227" s="8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100"/>
      <c r="B228" s="119"/>
      <c r="C228" s="89"/>
      <c r="D228" s="120"/>
      <c r="E228" s="9"/>
      <c r="F228" s="8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100"/>
      <c r="B229" s="119"/>
      <c r="C229" s="89"/>
      <c r="D229" s="120"/>
      <c r="E229" s="9"/>
      <c r="F229" s="8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100"/>
      <c r="B230" s="119"/>
      <c r="C230" s="89"/>
      <c r="D230" s="120"/>
      <c r="E230" s="9"/>
      <c r="F230" s="8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100"/>
      <c r="B231" s="119"/>
      <c r="C231" s="89"/>
      <c r="D231" s="120"/>
      <c r="E231" s="9"/>
      <c r="F231" s="8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100"/>
      <c r="B232" s="119"/>
      <c r="C232" s="89"/>
      <c r="D232" s="120"/>
      <c r="E232" s="9"/>
      <c r="F232" s="8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100"/>
      <c r="B233" s="119"/>
      <c r="C233" s="89"/>
      <c r="D233" s="120"/>
      <c r="E233" s="9"/>
      <c r="F233" s="8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100"/>
      <c r="B234" s="119"/>
      <c r="C234" s="89"/>
      <c r="D234" s="120"/>
      <c r="E234" s="9"/>
      <c r="F234" s="8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100"/>
      <c r="B235" s="119"/>
      <c r="C235" s="89"/>
      <c r="D235" s="120"/>
      <c r="E235" s="9"/>
      <c r="F235" s="8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100"/>
      <c r="B236" s="119"/>
      <c r="C236" s="89"/>
      <c r="D236" s="120"/>
      <c r="E236" s="9"/>
      <c r="F236" s="8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100"/>
      <c r="B237" s="119"/>
      <c r="C237" s="89"/>
      <c r="D237" s="120"/>
      <c r="E237" s="9"/>
      <c r="F237" s="8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100"/>
      <c r="B238" s="119"/>
      <c r="C238" s="89"/>
      <c r="D238" s="120"/>
      <c r="E238" s="9"/>
      <c r="F238" s="8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100"/>
      <c r="B239" s="119"/>
      <c r="C239" s="89"/>
      <c r="D239" s="120"/>
      <c r="E239" s="9"/>
      <c r="F239" s="8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100"/>
      <c r="B240" s="119"/>
      <c r="C240" s="89"/>
      <c r="D240" s="120"/>
      <c r="E240" s="9"/>
      <c r="F240" s="8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100"/>
      <c r="B241" s="119"/>
      <c r="C241" s="89"/>
      <c r="D241" s="120"/>
      <c r="E241" s="9"/>
      <c r="F241" s="8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100"/>
      <c r="B242" s="119"/>
      <c r="C242" s="89"/>
      <c r="D242" s="120"/>
      <c r="E242" s="9"/>
      <c r="F242" s="8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100"/>
      <c r="B243" s="119"/>
      <c r="C243" s="89"/>
      <c r="D243" s="120"/>
      <c r="E243" s="9"/>
      <c r="F243" s="8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100"/>
      <c r="B244" s="119"/>
      <c r="C244" s="89"/>
      <c r="D244" s="120"/>
      <c r="E244" s="9"/>
      <c r="F244" s="8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100"/>
      <c r="B245" s="119"/>
      <c r="C245" s="89"/>
      <c r="D245" s="120"/>
      <c r="E245" s="9"/>
      <c r="F245" s="8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100"/>
      <c r="B246" s="119"/>
      <c r="C246" s="89"/>
      <c r="D246" s="120"/>
      <c r="E246" s="9"/>
      <c r="F246" s="8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100"/>
      <c r="B247" s="119"/>
      <c r="C247" s="89"/>
      <c r="D247" s="120"/>
      <c r="E247" s="9"/>
      <c r="F247" s="8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100"/>
      <c r="B248" s="119"/>
      <c r="C248" s="89"/>
      <c r="D248" s="120"/>
      <c r="E248" s="9"/>
      <c r="F248" s="8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100"/>
      <c r="B249" s="119"/>
      <c r="C249" s="89"/>
      <c r="D249" s="120"/>
      <c r="E249" s="9"/>
      <c r="F249" s="8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100"/>
      <c r="B250" s="119"/>
      <c r="C250" s="89"/>
      <c r="D250" s="120"/>
      <c r="E250" s="9"/>
      <c r="F250" s="8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100"/>
      <c r="B251" s="119"/>
      <c r="C251" s="89"/>
      <c r="D251" s="120"/>
      <c r="E251" s="9"/>
      <c r="F251" s="8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100"/>
      <c r="B252" s="119"/>
      <c r="C252" s="89"/>
      <c r="D252" s="120"/>
      <c r="E252" s="9"/>
      <c r="F252" s="8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100"/>
      <c r="B253" s="119"/>
      <c r="C253" s="89"/>
      <c r="D253" s="120"/>
      <c r="E253" s="9"/>
      <c r="F253" s="8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100"/>
      <c r="B254" s="119"/>
      <c r="C254" s="89"/>
      <c r="D254" s="120"/>
      <c r="E254" s="9"/>
      <c r="F254" s="8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100"/>
      <c r="B255" s="119"/>
      <c r="C255" s="89"/>
      <c r="D255" s="120"/>
      <c r="E255" s="9"/>
      <c r="F255" s="8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100"/>
      <c r="B256" s="119"/>
      <c r="C256" s="89"/>
      <c r="D256" s="120"/>
      <c r="E256" s="9"/>
      <c r="F256" s="8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100"/>
      <c r="B257" s="119"/>
      <c r="C257" s="89"/>
      <c r="D257" s="120"/>
      <c r="E257" s="9"/>
      <c r="F257" s="8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100"/>
      <c r="B258" s="119"/>
      <c r="C258" s="89"/>
      <c r="D258" s="120"/>
      <c r="E258" s="9"/>
      <c r="F258" s="8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100"/>
      <c r="B259" s="119"/>
      <c r="C259" s="89"/>
      <c r="D259" s="120"/>
      <c r="E259" s="9"/>
      <c r="F259" s="8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100"/>
      <c r="B260" s="119"/>
      <c r="C260" s="89"/>
      <c r="D260" s="120"/>
      <c r="E260" s="9"/>
      <c r="F260" s="8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100"/>
      <c r="B261" s="119"/>
      <c r="C261" s="89"/>
      <c r="D261" s="120"/>
      <c r="E261" s="9"/>
      <c r="F261" s="8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100"/>
      <c r="B262" s="119"/>
      <c r="C262" s="89"/>
      <c r="D262" s="120"/>
      <c r="E262" s="9"/>
      <c r="F262" s="8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100"/>
      <c r="B263" s="119"/>
      <c r="C263" s="89"/>
      <c r="D263" s="120"/>
      <c r="E263" s="9"/>
      <c r="F263" s="8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100"/>
      <c r="B264" s="119"/>
      <c r="C264" s="89"/>
      <c r="D264" s="120"/>
      <c r="E264" s="9"/>
      <c r="F264" s="8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100"/>
      <c r="B265" s="119"/>
      <c r="C265" s="89"/>
      <c r="D265" s="120"/>
      <c r="E265" s="9"/>
      <c r="F265" s="8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100"/>
      <c r="B266" s="119"/>
      <c r="C266" s="89"/>
      <c r="D266" s="120"/>
      <c r="E266" s="9"/>
      <c r="F266" s="8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100"/>
      <c r="B267" s="119"/>
      <c r="C267" s="89"/>
      <c r="D267" s="120"/>
      <c r="E267" s="9"/>
      <c r="F267" s="8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100"/>
      <c r="B268" s="119"/>
      <c r="C268" s="89"/>
      <c r="D268" s="120"/>
      <c r="E268" s="9"/>
      <c r="F268" s="8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100"/>
      <c r="B269" s="119"/>
      <c r="C269" s="89"/>
      <c r="D269" s="120"/>
      <c r="E269" s="9"/>
      <c r="F269" s="8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100"/>
      <c r="B270" s="119"/>
      <c r="C270" s="89"/>
      <c r="D270" s="120"/>
      <c r="E270" s="9"/>
      <c r="F270" s="8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100"/>
      <c r="B271" s="119"/>
      <c r="C271" s="89"/>
      <c r="D271" s="120"/>
      <c r="E271" s="9"/>
      <c r="F271" s="8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100"/>
      <c r="B272" s="119"/>
      <c r="C272" s="89"/>
      <c r="D272" s="120"/>
      <c r="E272" s="9"/>
      <c r="F272" s="8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100"/>
      <c r="B273" s="119"/>
      <c r="C273" s="89"/>
      <c r="D273" s="120"/>
      <c r="E273" s="9"/>
      <c r="F273" s="8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100"/>
      <c r="B274" s="119"/>
      <c r="C274" s="89"/>
      <c r="D274" s="120"/>
      <c r="E274" s="9"/>
      <c r="F274" s="8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100"/>
      <c r="B275" s="119"/>
      <c r="C275" s="89"/>
      <c r="D275" s="120"/>
      <c r="E275" s="9"/>
      <c r="F275" s="8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100"/>
      <c r="B276" s="119"/>
      <c r="C276" s="89"/>
      <c r="D276" s="120"/>
      <c r="E276" s="9"/>
      <c r="F276" s="8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100"/>
      <c r="B277" s="119"/>
      <c r="C277" s="89"/>
      <c r="D277" s="120"/>
      <c r="E277" s="9"/>
      <c r="F277" s="8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100"/>
      <c r="B278" s="119"/>
      <c r="C278" s="89"/>
      <c r="D278" s="120"/>
      <c r="E278" s="9"/>
      <c r="F278" s="8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100"/>
      <c r="B279" s="119"/>
      <c r="C279" s="89"/>
      <c r="D279" s="120"/>
      <c r="E279" s="9"/>
      <c r="F279" s="8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100"/>
      <c r="B280" s="119"/>
      <c r="C280" s="89"/>
      <c r="D280" s="120"/>
      <c r="E280" s="9"/>
      <c r="F280" s="8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100"/>
      <c r="B281" s="119"/>
      <c r="C281" s="89"/>
      <c r="D281" s="120"/>
      <c r="E281" s="9"/>
      <c r="F281" s="8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100"/>
      <c r="B282" s="119"/>
      <c r="C282" s="89"/>
      <c r="D282" s="120"/>
      <c r="E282" s="9"/>
      <c r="F282" s="8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100"/>
      <c r="B283" s="119"/>
      <c r="C283" s="89"/>
      <c r="D283" s="120"/>
      <c r="E283" s="9"/>
      <c r="F283" s="8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100"/>
      <c r="B284" s="119"/>
      <c r="C284" s="89"/>
      <c r="D284" s="120"/>
      <c r="E284" s="9"/>
      <c r="F284" s="8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100"/>
      <c r="B285" s="119"/>
      <c r="C285" s="89"/>
      <c r="D285" s="120"/>
      <c r="E285" s="9"/>
      <c r="F285" s="8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100"/>
      <c r="B286" s="119"/>
      <c r="C286" s="89"/>
      <c r="D286" s="120"/>
      <c r="E286" s="9"/>
      <c r="F286" s="8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100"/>
      <c r="B287" s="119"/>
      <c r="C287" s="89"/>
      <c r="D287" s="120"/>
      <c r="E287" s="9"/>
      <c r="F287" s="8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100"/>
      <c r="B288" s="119"/>
      <c r="C288" s="89"/>
      <c r="D288" s="120"/>
      <c r="E288" s="9"/>
      <c r="F288" s="8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100"/>
      <c r="B289" s="119"/>
      <c r="C289" s="89"/>
      <c r="D289" s="120"/>
      <c r="E289" s="9"/>
      <c r="F289" s="8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100"/>
      <c r="B290" s="119"/>
      <c r="C290" s="89"/>
      <c r="D290" s="120"/>
      <c r="E290" s="9"/>
      <c r="F290" s="8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100"/>
      <c r="B291" s="119"/>
      <c r="C291" s="89"/>
      <c r="D291" s="120"/>
      <c r="E291" s="9"/>
      <c r="F291" s="8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100"/>
      <c r="B292" s="119"/>
      <c r="C292" s="89"/>
      <c r="D292" s="120"/>
      <c r="E292" s="9"/>
      <c r="F292" s="8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100"/>
      <c r="B293" s="119"/>
      <c r="C293" s="89"/>
      <c r="D293" s="120"/>
      <c r="E293" s="9"/>
      <c r="F293" s="88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100"/>
      <c r="B294" s="119"/>
      <c r="C294" s="89"/>
      <c r="D294" s="120"/>
      <c r="E294" s="9"/>
      <c r="F294" s="8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100"/>
      <c r="B295" s="119"/>
      <c r="C295" s="89"/>
      <c r="D295" s="120"/>
      <c r="E295" s="9"/>
      <c r="F295" s="8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100"/>
      <c r="B296" s="119"/>
      <c r="C296" s="89"/>
      <c r="D296" s="120"/>
      <c r="E296" s="9"/>
      <c r="F296" s="8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100"/>
      <c r="B297" s="119"/>
      <c r="C297" s="89"/>
      <c r="D297" s="120"/>
      <c r="E297" s="9"/>
      <c r="F297" s="8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100"/>
      <c r="B298" s="119"/>
      <c r="C298" s="89"/>
      <c r="D298" s="120"/>
      <c r="E298" s="9"/>
      <c r="F298" s="8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100"/>
      <c r="B299" s="119"/>
      <c r="C299" s="89"/>
      <c r="D299" s="120"/>
      <c r="E299" s="9"/>
      <c r="F299" s="8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100"/>
      <c r="B300" s="119"/>
      <c r="C300" s="89"/>
      <c r="D300" s="120"/>
      <c r="E300" s="9"/>
      <c r="F300" s="8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100"/>
      <c r="B301" s="119"/>
      <c r="C301" s="89"/>
      <c r="D301" s="120"/>
      <c r="E301" s="9"/>
      <c r="F301" s="8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100"/>
      <c r="B302" s="119"/>
      <c r="C302" s="89"/>
      <c r="D302" s="120"/>
      <c r="E302" s="9"/>
      <c r="F302" s="8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100"/>
      <c r="B303" s="119"/>
      <c r="C303" s="89"/>
      <c r="D303" s="120"/>
      <c r="E303" s="9"/>
      <c r="F303" s="8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100"/>
      <c r="B304" s="119"/>
      <c r="C304" s="89"/>
      <c r="D304" s="120"/>
      <c r="E304" s="9"/>
      <c r="F304" s="8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100"/>
      <c r="B305" s="119"/>
      <c r="C305" s="89"/>
      <c r="D305" s="120"/>
      <c r="E305" s="9"/>
      <c r="F305" s="8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100"/>
      <c r="B306" s="119"/>
      <c r="C306" s="89"/>
      <c r="D306" s="120"/>
      <c r="E306" s="9"/>
      <c r="F306" s="8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100"/>
      <c r="B307" s="119"/>
      <c r="C307" s="89"/>
      <c r="D307" s="120"/>
      <c r="E307" s="9"/>
      <c r="F307" s="8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100"/>
      <c r="B308" s="119"/>
      <c r="C308" s="89"/>
      <c r="D308" s="120"/>
      <c r="E308" s="9"/>
      <c r="F308" s="8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100"/>
      <c r="B309" s="119"/>
      <c r="C309" s="89"/>
      <c r="D309" s="120"/>
      <c r="E309" s="9"/>
      <c r="F309" s="8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100"/>
      <c r="B310" s="119"/>
      <c r="C310" s="89"/>
      <c r="D310" s="120"/>
      <c r="E310" s="9"/>
      <c r="F310" s="8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100"/>
      <c r="B311" s="119"/>
      <c r="C311" s="89"/>
      <c r="D311" s="120"/>
      <c r="E311" s="9"/>
      <c r="F311" s="8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100"/>
      <c r="B312" s="119"/>
      <c r="C312" s="89"/>
      <c r="D312" s="120"/>
      <c r="E312" s="9"/>
      <c r="F312" s="8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100"/>
      <c r="B313" s="119"/>
      <c r="C313" s="89"/>
      <c r="D313" s="120"/>
      <c r="E313" s="9"/>
      <c r="F313" s="8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100"/>
      <c r="B314" s="119"/>
      <c r="C314" s="89"/>
      <c r="D314" s="120"/>
      <c r="E314" s="9"/>
      <c r="F314" s="8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100"/>
      <c r="B315" s="119"/>
      <c r="C315" s="89"/>
      <c r="D315" s="120"/>
      <c r="E315" s="9"/>
      <c r="F315" s="8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100"/>
      <c r="B316" s="119"/>
      <c r="C316" s="89"/>
      <c r="D316" s="120"/>
      <c r="E316" s="9"/>
      <c r="F316" s="8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100"/>
      <c r="B317" s="119"/>
      <c r="C317" s="89"/>
      <c r="D317" s="120"/>
      <c r="E317" s="9"/>
      <c r="F317" s="8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100"/>
      <c r="B318" s="119"/>
      <c r="C318" s="89"/>
      <c r="D318" s="120"/>
      <c r="E318" s="9"/>
      <c r="F318" s="8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100"/>
      <c r="B319" s="119"/>
      <c r="C319" s="89"/>
      <c r="D319" s="120"/>
      <c r="E319" s="9"/>
      <c r="F319" s="8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100"/>
      <c r="B320" s="119"/>
      <c r="C320" s="89"/>
      <c r="D320" s="120"/>
      <c r="E320" s="9"/>
      <c r="F320" s="8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100"/>
      <c r="B321" s="119"/>
      <c r="C321" s="89"/>
      <c r="D321" s="120"/>
      <c r="E321" s="9"/>
      <c r="F321" s="8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100"/>
      <c r="B322" s="119"/>
      <c r="C322" s="89"/>
      <c r="D322" s="120"/>
      <c r="E322" s="9"/>
      <c r="F322" s="8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100"/>
      <c r="B323" s="119"/>
      <c r="C323" s="89"/>
      <c r="D323" s="120"/>
      <c r="E323" s="9"/>
      <c r="F323" s="8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100"/>
      <c r="B324" s="119"/>
      <c r="C324" s="89"/>
      <c r="D324" s="120"/>
      <c r="E324" s="9"/>
      <c r="F324" s="8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100"/>
      <c r="B325" s="119"/>
      <c r="C325" s="89"/>
      <c r="D325" s="120"/>
      <c r="E325" s="9"/>
      <c r="F325" s="8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100"/>
      <c r="B326" s="119"/>
      <c r="C326" s="89"/>
      <c r="D326" s="120"/>
      <c r="E326" s="9"/>
      <c r="F326" s="8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100"/>
      <c r="B327" s="119"/>
      <c r="C327" s="89"/>
      <c r="D327" s="120"/>
      <c r="E327" s="9"/>
      <c r="F327" s="8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100"/>
      <c r="B328" s="119"/>
      <c r="C328" s="89"/>
      <c r="D328" s="120"/>
      <c r="E328" s="9"/>
      <c r="F328" s="8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100"/>
      <c r="B329" s="119"/>
      <c r="C329" s="89"/>
      <c r="D329" s="120"/>
      <c r="E329" s="9"/>
      <c r="F329" s="8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100"/>
      <c r="B330" s="119"/>
      <c r="C330" s="89"/>
      <c r="D330" s="120"/>
      <c r="E330" s="9"/>
      <c r="F330" s="8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100"/>
      <c r="B331" s="119"/>
      <c r="C331" s="89"/>
      <c r="D331" s="120"/>
      <c r="E331" s="9"/>
      <c r="F331" s="8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100"/>
      <c r="B332" s="119"/>
      <c r="C332" s="89"/>
      <c r="D332" s="120"/>
      <c r="E332" s="9"/>
      <c r="F332" s="8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100"/>
      <c r="B333" s="119"/>
      <c r="C333" s="89"/>
      <c r="D333" s="120"/>
      <c r="E333" s="9"/>
      <c r="F333" s="8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100"/>
      <c r="B334" s="119"/>
      <c r="C334" s="89"/>
      <c r="D334" s="120"/>
      <c r="E334" s="9"/>
      <c r="F334" s="8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100"/>
      <c r="B335" s="119"/>
      <c r="C335" s="89"/>
      <c r="D335" s="120"/>
      <c r="E335" s="9"/>
      <c r="F335" s="8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100"/>
      <c r="B336" s="119"/>
      <c r="C336" s="89"/>
      <c r="D336" s="120"/>
      <c r="E336" s="9"/>
      <c r="F336" s="8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100"/>
      <c r="B337" s="119"/>
      <c r="C337" s="89"/>
      <c r="D337" s="120"/>
      <c r="E337" s="9"/>
      <c r="F337" s="8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100"/>
      <c r="B338" s="119"/>
      <c r="C338" s="89"/>
      <c r="D338" s="120"/>
      <c r="E338" s="9"/>
      <c r="F338" s="8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100"/>
      <c r="B339" s="119"/>
      <c r="C339" s="89"/>
      <c r="D339" s="120"/>
      <c r="E339" s="9"/>
      <c r="F339" s="8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100"/>
      <c r="B340" s="119"/>
      <c r="C340" s="89"/>
      <c r="D340" s="120"/>
      <c r="E340" s="9"/>
      <c r="F340" s="8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100"/>
      <c r="B341" s="119"/>
      <c r="C341" s="89"/>
      <c r="D341" s="120"/>
      <c r="E341" s="9"/>
      <c r="F341" s="8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100"/>
      <c r="B342" s="119"/>
      <c r="C342" s="89"/>
      <c r="D342" s="120"/>
      <c r="E342" s="9"/>
      <c r="F342" s="8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100"/>
      <c r="B343" s="119"/>
      <c r="C343" s="89"/>
      <c r="D343" s="120"/>
      <c r="E343" s="9"/>
      <c r="F343" s="8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100"/>
      <c r="B344" s="119"/>
      <c r="C344" s="89"/>
      <c r="D344" s="120"/>
      <c r="E344" s="9"/>
      <c r="F344" s="8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100"/>
      <c r="B345" s="119"/>
      <c r="C345" s="89"/>
      <c r="D345" s="120"/>
      <c r="E345" s="9"/>
      <c r="F345" s="8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100"/>
      <c r="B346" s="119"/>
      <c r="C346" s="89"/>
      <c r="D346" s="120"/>
      <c r="E346" s="9"/>
      <c r="F346" s="8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100"/>
      <c r="B347" s="119"/>
      <c r="C347" s="89"/>
      <c r="D347" s="120"/>
      <c r="E347" s="9"/>
      <c r="F347" s="8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100"/>
      <c r="B348" s="119"/>
      <c r="C348" s="89"/>
      <c r="D348" s="120"/>
      <c r="E348" s="9"/>
      <c r="F348" s="8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100"/>
      <c r="B349" s="119"/>
      <c r="C349" s="89"/>
      <c r="D349" s="120"/>
      <c r="E349" s="9"/>
      <c r="F349" s="8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100"/>
      <c r="B350" s="119"/>
      <c r="C350" s="89"/>
      <c r="D350" s="120"/>
      <c r="E350" s="9"/>
      <c r="F350" s="8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100"/>
      <c r="B351" s="119"/>
      <c r="C351" s="89"/>
      <c r="D351" s="120"/>
      <c r="E351" s="9"/>
      <c r="F351" s="8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100"/>
      <c r="B352" s="119"/>
      <c r="C352" s="89"/>
      <c r="D352" s="120"/>
      <c r="E352" s="9"/>
      <c r="F352" s="8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100"/>
      <c r="B353" s="119"/>
      <c r="C353" s="89"/>
      <c r="D353" s="120"/>
      <c r="E353" s="9"/>
      <c r="F353" s="8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100"/>
      <c r="B354" s="119"/>
      <c r="C354" s="89"/>
      <c r="D354" s="120"/>
      <c r="E354" s="9"/>
      <c r="F354" s="8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100"/>
      <c r="B355" s="119"/>
      <c r="C355" s="89"/>
      <c r="D355" s="120"/>
      <c r="E355" s="9"/>
      <c r="F355" s="8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100"/>
      <c r="B356" s="119"/>
      <c r="C356" s="89"/>
      <c r="D356" s="120"/>
      <c r="E356" s="9"/>
      <c r="F356" s="8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100"/>
      <c r="B357" s="119"/>
      <c r="C357" s="89"/>
      <c r="D357" s="120"/>
      <c r="E357" s="9"/>
      <c r="F357" s="8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100"/>
      <c r="B358" s="119"/>
      <c r="C358" s="89"/>
      <c r="D358" s="120"/>
      <c r="E358" s="9"/>
      <c r="F358" s="8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100"/>
      <c r="B359" s="119"/>
      <c r="C359" s="89"/>
      <c r="D359" s="120"/>
      <c r="E359" s="9"/>
      <c r="F359" s="8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100"/>
      <c r="B360" s="119"/>
      <c r="C360" s="89"/>
      <c r="D360" s="120"/>
      <c r="E360" s="9"/>
      <c r="F360" s="8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100"/>
      <c r="B361" s="119"/>
      <c r="C361" s="89"/>
      <c r="D361" s="120"/>
      <c r="E361" s="9"/>
      <c r="F361" s="8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100"/>
      <c r="B362" s="119"/>
      <c r="C362" s="89"/>
      <c r="D362" s="120"/>
      <c r="E362" s="9"/>
      <c r="F362" s="8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100"/>
      <c r="B363" s="119"/>
      <c r="C363" s="89"/>
      <c r="D363" s="120"/>
      <c r="E363" s="9"/>
      <c r="F363" s="8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100"/>
      <c r="B364" s="119"/>
      <c r="C364" s="89"/>
      <c r="D364" s="120"/>
      <c r="E364" s="9"/>
      <c r="F364" s="8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100"/>
      <c r="B365" s="119"/>
      <c r="C365" s="89"/>
      <c r="D365" s="120"/>
      <c r="E365" s="9"/>
      <c r="F365" s="8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100"/>
      <c r="B366" s="119"/>
      <c r="C366" s="89"/>
      <c r="D366" s="120"/>
      <c r="E366" s="9"/>
      <c r="F366" s="8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100"/>
      <c r="B367" s="119"/>
      <c r="C367" s="89"/>
      <c r="D367" s="120"/>
      <c r="E367" s="9"/>
      <c r="F367" s="8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100"/>
      <c r="B368" s="119"/>
      <c r="C368" s="89"/>
      <c r="D368" s="120"/>
      <c r="E368" s="9"/>
      <c r="F368" s="8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100"/>
      <c r="B369" s="119"/>
      <c r="C369" s="89"/>
      <c r="D369" s="120"/>
      <c r="E369" s="9"/>
      <c r="F369" s="8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100"/>
      <c r="B370" s="119"/>
      <c r="C370" s="89"/>
      <c r="D370" s="120"/>
      <c r="E370" s="9"/>
      <c r="F370" s="8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100"/>
      <c r="B371" s="119"/>
      <c r="C371" s="89"/>
      <c r="D371" s="120"/>
      <c r="E371" s="9"/>
      <c r="F371" s="8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100"/>
      <c r="B372" s="119"/>
      <c r="C372" s="89"/>
      <c r="D372" s="120"/>
      <c r="E372" s="9"/>
      <c r="F372" s="8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100"/>
      <c r="B373" s="119"/>
      <c r="C373" s="89"/>
      <c r="D373" s="120"/>
      <c r="E373" s="9"/>
      <c r="F373" s="8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100"/>
      <c r="B374" s="119"/>
      <c r="C374" s="89"/>
      <c r="D374" s="120"/>
      <c r="E374" s="9"/>
      <c r="F374" s="8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100"/>
      <c r="B375" s="119"/>
      <c r="C375" s="89"/>
      <c r="D375" s="120"/>
      <c r="E375" s="9"/>
      <c r="F375" s="8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100"/>
      <c r="B376" s="119"/>
      <c r="C376" s="89"/>
      <c r="D376" s="120"/>
      <c r="E376" s="9"/>
      <c r="F376" s="8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100"/>
      <c r="B377" s="119"/>
      <c r="C377" s="89"/>
      <c r="D377" s="120"/>
      <c r="E377" s="9"/>
      <c r="F377" s="8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100"/>
      <c r="B378" s="119"/>
      <c r="C378" s="89"/>
      <c r="D378" s="120"/>
      <c r="E378" s="9"/>
      <c r="F378" s="8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100"/>
      <c r="B379" s="119"/>
      <c r="C379" s="89"/>
      <c r="D379" s="120"/>
      <c r="E379" s="9"/>
      <c r="F379" s="8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100"/>
      <c r="B380" s="119"/>
      <c r="C380" s="89"/>
      <c r="D380" s="120"/>
      <c r="E380" s="9"/>
      <c r="F380" s="8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100"/>
      <c r="B381" s="119"/>
      <c r="C381" s="89"/>
      <c r="D381" s="120"/>
      <c r="E381" s="9"/>
      <c r="F381" s="8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100"/>
      <c r="B382" s="119"/>
      <c r="C382" s="89"/>
      <c r="D382" s="120"/>
      <c r="E382" s="9"/>
      <c r="F382" s="8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100"/>
      <c r="B383" s="119"/>
      <c r="C383" s="89"/>
      <c r="D383" s="120"/>
      <c r="E383" s="9"/>
      <c r="F383" s="8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100"/>
      <c r="B384" s="119"/>
      <c r="C384" s="89"/>
      <c r="D384" s="120"/>
      <c r="E384" s="9"/>
      <c r="F384" s="8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100"/>
      <c r="B385" s="119"/>
      <c r="C385" s="89"/>
      <c r="D385" s="120"/>
      <c r="E385" s="9"/>
      <c r="F385" s="8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100"/>
      <c r="B386" s="119"/>
      <c r="C386" s="89"/>
      <c r="D386" s="120"/>
      <c r="E386" s="9"/>
      <c r="F386" s="8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100"/>
      <c r="B387" s="119"/>
      <c r="C387" s="89"/>
      <c r="D387" s="120"/>
      <c r="E387" s="9"/>
      <c r="F387" s="8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100"/>
      <c r="B388" s="119"/>
      <c r="C388" s="89"/>
      <c r="D388" s="120"/>
      <c r="E388" s="9"/>
      <c r="F388" s="8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100"/>
      <c r="B389" s="119"/>
      <c r="C389" s="89"/>
      <c r="D389" s="120"/>
      <c r="E389" s="9"/>
      <c r="F389" s="8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100"/>
      <c r="B390" s="119"/>
      <c r="C390" s="89"/>
      <c r="D390" s="120"/>
      <c r="E390" s="9"/>
      <c r="F390" s="8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100"/>
      <c r="B391" s="119"/>
      <c r="C391" s="89"/>
      <c r="D391" s="120"/>
      <c r="E391" s="9"/>
      <c r="F391" s="8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100"/>
      <c r="B392" s="119"/>
      <c r="C392" s="89"/>
      <c r="D392" s="120"/>
      <c r="E392" s="9"/>
      <c r="F392" s="8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100"/>
      <c r="B393" s="119"/>
      <c r="C393" s="89"/>
      <c r="D393" s="120"/>
      <c r="E393" s="9"/>
      <c r="F393" s="8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100"/>
      <c r="B394" s="119"/>
      <c r="C394" s="89"/>
      <c r="D394" s="120"/>
      <c r="E394" s="9"/>
      <c r="F394" s="8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100"/>
      <c r="B395" s="119"/>
      <c r="C395" s="89"/>
      <c r="D395" s="120"/>
      <c r="E395" s="9"/>
      <c r="F395" s="8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100"/>
      <c r="B396" s="119"/>
      <c r="C396" s="89"/>
      <c r="D396" s="120"/>
      <c r="E396" s="9"/>
      <c r="F396" s="8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100"/>
      <c r="B397" s="119"/>
      <c r="C397" s="89"/>
      <c r="D397" s="120"/>
      <c r="E397" s="9"/>
      <c r="F397" s="8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100"/>
      <c r="B398" s="119"/>
      <c r="C398" s="89"/>
      <c r="D398" s="120"/>
      <c r="E398" s="9"/>
      <c r="F398" s="8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100"/>
      <c r="B399" s="119"/>
      <c r="C399" s="89"/>
      <c r="D399" s="120"/>
      <c r="E399" s="9"/>
      <c r="F399" s="8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100"/>
      <c r="B400" s="119"/>
      <c r="C400" s="89"/>
      <c r="D400" s="120"/>
      <c r="E400" s="9"/>
      <c r="F400" s="8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100"/>
      <c r="B401" s="119"/>
      <c r="C401" s="89"/>
      <c r="D401" s="120"/>
      <c r="E401" s="9"/>
      <c r="F401" s="8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100"/>
      <c r="B402" s="119"/>
      <c r="C402" s="89"/>
      <c r="D402" s="120"/>
      <c r="E402" s="9"/>
      <c r="F402" s="8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100"/>
      <c r="B403" s="119"/>
      <c r="C403" s="89"/>
      <c r="D403" s="120"/>
      <c r="E403" s="9"/>
      <c r="F403" s="8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100"/>
      <c r="B404" s="119"/>
      <c r="C404" s="89"/>
      <c r="D404" s="120"/>
      <c r="E404" s="9"/>
      <c r="F404" s="8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100"/>
      <c r="B405" s="119"/>
      <c r="C405" s="89"/>
      <c r="D405" s="120"/>
      <c r="E405" s="9"/>
      <c r="F405" s="8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100"/>
      <c r="B406" s="119"/>
      <c r="C406" s="89"/>
      <c r="D406" s="120"/>
      <c r="E406" s="9"/>
      <c r="F406" s="8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100"/>
      <c r="B407" s="119"/>
      <c r="C407" s="89"/>
      <c r="D407" s="120"/>
      <c r="E407" s="9"/>
      <c r="F407" s="8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100"/>
      <c r="B408" s="119"/>
      <c r="C408" s="89"/>
      <c r="D408" s="120"/>
      <c r="E408" s="9"/>
      <c r="F408" s="8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100"/>
      <c r="B409" s="119"/>
      <c r="C409" s="89"/>
      <c r="D409" s="120"/>
      <c r="E409" s="9"/>
      <c r="F409" s="8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100"/>
      <c r="B410" s="119"/>
      <c r="C410" s="89"/>
      <c r="D410" s="120"/>
      <c r="E410" s="9"/>
      <c r="F410" s="8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100"/>
      <c r="B411" s="119"/>
      <c r="C411" s="89"/>
      <c r="D411" s="120"/>
      <c r="E411" s="9"/>
      <c r="F411" s="8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100"/>
      <c r="B412" s="119"/>
      <c r="C412" s="89"/>
      <c r="D412" s="120"/>
      <c r="E412" s="9"/>
      <c r="F412" s="8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100"/>
      <c r="B413" s="119"/>
      <c r="C413" s="89"/>
      <c r="D413" s="120"/>
      <c r="E413" s="9"/>
      <c r="F413" s="8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100"/>
      <c r="B414" s="119"/>
      <c r="C414" s="89"/>
      <c r="D414" s="120"/>
      <c r="E414" s="9"/>
      <c r="F414" s="8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100"/>
      <c r="B415" s="119"/>
      <c r="C415" s="89"/>
      <c r="D415" s="120"/>
      <c r="E415" s="9"/>
      <c r="F415" s="8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100"/>
      <c r="B416" s="119"/>
      <c r="C416" s="89"/>
      <c r="D416" s="120"/>
      <c r="E416" s="9"/>
      <c r="F416" s="8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100"/>
      <c r="B417" s="119"/>
      <c r="C417" s="89"/>
      <c r="D417" s="120"/>
      <c r="E417" s="9"/>
      <c r="F417" s="8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100"/>
      <c r="B418" s="119"/>
      <c r="C418" s="89"/>
      <c r="D418" s="120"/>
      <c r="E418" s="9"/>
      <c r="F418" s="8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100"/>
      <c r="B419" s="119"/>
      <c r="C419" s="89"/>
      <c r="D419" s="120"/>
      <c r="E419" s="9"/>
      <c r="F419" s="8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100"/>
      <c r="B420" s="119"/>
      <c r="C420" s="89"/>
      <c r="D420" s="120"/>
      <c r="E420" s="9"/>
      <c r="F420" s="8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100"/>
      <c r="B421" s="119"/>
      <c r="C421" s="89"/>
      <c r="D421" s="120"/>
      <c r="E421" s="9"/>
      <c r="F421" s="8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100"/>
      <c r="B422" s="119"/>
      <c r="C422" s="89"/>
      <c r="D422" s="120"/>
      <c r="E422" s="9"/>
      <c r="F422" s="8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100"/>
      <c r="B423" s="119"/>
      <c r="C423" s="89"/>
      <c r="D423" s="120"/>
      <c r="E423" s="9"/>
      <c r="F423" s="8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100"/>
      <c r="B424" s="119"/>
      <c r="C424" s="89"/>
      <c r="D424" s="120"/>
      <c r="E424" s="9"/>
      <c r="F424" s="8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100"/>
      <c r="B425" s="119"/>
      <c r="C425" s="89"/>
      <c r="D425" s="120"/>
      <c r="E425" s="9"/>
      <c r="F425" s="8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100"/>
      <c r="B426" s="119"/>
      <c r="C426" s="89"/>
      <c r="D426" s="120"/>
      <c r="E426" s="9"/>
      <c r="F426" s="8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100"/>
      <c r="B427" s="119"/>
      <c r="C427" s="89"/>
      <c r="D427" s="120"/>
      <c r="E427" s="9"/>
      <c r="F427" s="8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100"/>
      <c r="B428" s="119"/>
      <c r="C428" s="89"/>
      <c r="D428" s="120"/>
      <c r="E428" s="9"/>
      <c r="F428" s="8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100"/>
      <c r="B429" s="119"/>
      <c r="C429" s="89"/>
      <c r="D429" s="120"/>
      <c r="E429" s="9"/>
      <c r="F429" s="8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100"/>
      <c r="B430" s="119"/>
      <c r="C430" s="89"/>
      <c r="D430" s="120"/>
      <c r="E430" s="9"/>
      <c r="F430" s="8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100"/>
      <c r="B431" s="119"/>
      <c r="C431" s="89"/>
      <c r="D431" s="120"/>
      <c r="E431" s="9"/>
      <c r="F431" s="8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100"/>
      <c r="B432" s="119"/>
      <c r="C432" s="89"/>
      <c r="D432" s="120"/>
      <c r="E432" s="9"/>
      <c r="F432" s="8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100"/>
      <c r="B433" s="119"/>
      <c r="C433" s="89"/>
      <c r="D433" s="120"/>
      <c r="E433" s="9"/>
      <c r="F433" s="8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100"/>
      <c r="B434" s="119"/>
      <c r="C434" s="89"/>
      <c r="D434" s="120"/>
      <c r="E434" s="9"/>
      <c r="F434" s="8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100"/>
      <c r="B435" s="119"/>
      <c r="C435" s="89"/>
      <c r="D435" s="120"/>
      <c r="E435" s="9"/>
      <c r="F435" s="8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100"/>
      <c r="B436" s="119"/>
      <c r="C436" s="89"/>
      <c r="D436" s="120"/>
      <c r="E436" s="9"/>
      <c r="F436" s="8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100"/>
      <c r="B437" s="119"/>
      <c r="C437" s="89"/>
      <c r="D437" s="120"/>
      <c r="E437" s="9"/>
      <c r="F437" s="8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100"/>
      <c r="B438" s="119"/>
      <c r="C438" s="89"/>
      <c r="D438" s="120"/>
      <c r="E438" s="9"/>
      <c r="F438" s="8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100"/>
      <c r="B439" s="119"/>
      <c r="C439" s="89"/>
      <c r="D439" s="120"/>
      <c r="E439" s="9"/>
      <c r="F439" s="8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100"/>
      <c r="B440" s="119"/>
      <c r="C440" s="89"/>
      <c r="D440" s="120"/>
      <c r="E440" s="9"/>
      <c r="F440" s="8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100"/>
      <c r="B441" s="119"/>
      <c r="C441" s="89"/>
      <c r="D441" s="120"/>
      <c r="E441" s="9"/>
      <c r="F441" s="8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100"/>
      <c r="B442" s="119"/>
      <c r="C442" s="89"/>
      <c r="D442" s="120"/>
      <c r="E442" s="9"/>
      <c r="F442" s="8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100"/>
      <c r="B443" s="119"/>
      <c r="C443" s="89"/>
      <c r="D443" s="120"/>
      <c r="E443" s="9"/>
      <c r="F443" s="8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100"/>
      <c r="B444" s="119"/>
      <c r="C444" s="89"/>
      <c r="D444" s="120"/>
      <c r="E444" s="9"/>
      <c r="F444" s="8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100"/>
      <c r="B445" s="119"/>
      <c r="C445" s="89"/>
      <c r="D445" s="120"/>
      <c r="E445" s="9"/>
      <c r="F445" s="8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100"/>
      <c r="B446" s="119"/>
      <c r="C446" s="89"/>
      <c r="D446" s="120"/>
      <c r="E446" s="9"/>
      <c r="F446" s="8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100"/>
      <c r="B447" s="119"/>
      <c r="C447" s="89"/>
      <c r="D447" s="120"/>
      <c r="E447" s="9"/>
      <c r="F447" s="8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100"/>
      <c r="B448" s="119"/>
      <c r="C448" s="89"/>
      <c r="D448" s="120"/>
      <c r="E448" s="9"/>
      <c r="F448" s="8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100"/>
      <c r="B449" s="119"/>
      <c r="C449" s="89"/>
      <c r="D449" s="120"/>
      <c r="E449" s="9"/>
      <c r="F449" s="8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100"/>
      <c r="B450" s="119"/>
      <c r="C450" s="89"/>
      <c r="D450" s="120"/>
      <c r="E450" s="9"/>
      <c r="F450" s="8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100"/>
      <c r="B451" s="119"/>
      <c r="C451" s="89"/>
      <c r="D451" s="120"/>
      <c r="E451" s="9"/>
      <c r="F451" s="8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100"/>
      <c r="B452" s="119"/>
      <c r="C452" s="89"/>
      <c r="D452" s="120"/>
      <c r="E452" s="9"/>
      <c r="F452" s="8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100"/>
      <c r="B453" s="119"/>
      <c r="C453" s="89"/>
      <c r="D453" s="120"/>
      <c r="E453" s="9"/>
      <c r="F453" s="8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100"/>
      <c r="B454" s="119"/>
      <c r="C454" s="89"/>
      <c r="D454" s="120"/>
      <c r="E454" s="9"/>
      <c r="F454" s="8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100"/>
      <c r="B455" s="119"/>
      <c r="C455" s="89"/>
      <c r="D455" s="120"/>
      <c r="E455" s="9"/>
      <c r="F455" s="8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100"/>
      <c r="B456" s="119"/>
      <c r="C456" s="89"/>
      <c r="D456" s="120"/>
      <c r="E456" s="9"/>
      <c r="F456" s="8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100"/>
      <c r="B457" s="119"/>
      <c r="C457" s="89"/>
      <c r="D457" s="120"/>
      <c r="E457" s="9"/>
      <c r="F457" s="8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100"/>
      <c r="B458" s="119"/>
      <c r="C458" s="89"/>
      <c r="D458" s="120"/>
      <c r="E458" s="9"/>
      <c r="F458" s="8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100"/>
      <c r="B459" s="119"/>
      <c r="C459" s="89"/>
      <c r="D459" s="120"/>
      <c r="E459" s="9"/>
      <c r="F459" s="8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100"/>
      <c r="B460" s="119"/>
      <c r="C460" s="89"/>
      <c r="D460" s="120"/>
      <c r="E460" s="9"/>
      <c r="F460" s="8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100"/>
      <c r="B461" s="119"/>
      <c r="C461" s="89"/>
      <c r="D461" s="120"/>
      <c r="E461" s="9"/>
      <c r="F461" s="8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100"/>
      <c r="B462" s="119"/>
      <c r="C462" s="89"/>
      <c r="D462" s="120"/>
      <c r="E462" s="9"/>
      <c r="F462" s="8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100"/>
      <c r="B463" s="119"/>
      <c r="C463" s="89"/>
      <c r="D463" s="120"/>
      <c r="E463" s="9"/>
      <c r="F463" s="8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100"/>
      <c r="B464" s="119"/>
      <c r="C464" s="89"/>
      <c r="D464" s="120"/>
      <c r="E464" s="9"/>
      <c r="F464" s="8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100"/>
      <c r="B465" s="119"/>
      <c r="C465" s="89"/>
      <c r="D465" s="120"/>
      <c r="E465" s="9"/>
      <c r="F465" s="8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100"/>
      <c r="B466" s="119"/>
      <c r="C466" s="89"/>
      <c r="D466" s="120"/>
      <c r="E466" s="9"/>
      <c r="F466" s="8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100"/>
      <c r="B467" s="119"/>
      <c r="C467" s="89"/>
      <c r="D467" s="120"/>
      <c r="E467" s="9"/>
      <c r="F467" s="8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100"/>
      <c r="B468" s="119"/>
      <c r="C468" s="89"/>
      <c r="D468" s="120"/>
      <c r="E468" s="9"/>
      <c r="F468" s="8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100"/>
      <c r="B469" s="119"/>
      <c r="C469" s="89"/>
      <c r="D469" s="120"/>
      <c r="E469" s="9"/>
      <c r="F469" s="8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100"/>
      <c r="B470" s="119"/>
      <c r="C470" s="89"/>
      <c r="D470" s="120"/>
      <c r="E470" s="9"/>
      <c r="F470" s="8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100"/>
      <c r="B471" s="119"/>
      <c r="C471" s="89"/>
      <c r="D471" s="120"/>
      <c r="E471" s="9"/>
      <c r="F471" s="8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100"/>
      <c r="B472" s="119"/>
      <c r="C472" s="89"/>
      <c r="D472" s="120"/>
      <c r="E472" s="9"/>
      <c r="F472" s="8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100"/>
      <c r="B473" s="119"/>
      <c r="C473" s="89"/>
      <c r="D473" s="120"/>
      <c r="E473" s="9"/>
      <c r="F473" s="8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100"/>
      <c r="B474" s="119"/>
      <c r="C474" s="89"/>
      <c r="D474" s="120"/>
      <c r="E474" s="9"/>
      <c r="F474" s="8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100"/>
      <c r="B475" s="119"/>
      <c r="C475" s="89"/>
      <c r="D475" s="120"/>
      <c r="E475" s="9"/>
      <c r="F475" s="8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100"/>
      <c r="B476" s="119"/>
      <c r="C476" s="89"/>
      <c r="D476" s="120"/>
      <c r="E476" s="9"/>
      <c r="F476" s="8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100"/>
      <c r="B477" s="119"/>
      <c r="C477" s="89"/>
      <c r="D477" s="120"/>
      <c r="E477" s="9"/>
      <c r="F477" s="8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100"/>
      <c r="B478" s="119"/>
      <c r="C478" s="89"/>
      <c r="D478" s="120"/>
      <c r="E478" s="9"/>
      <c r="F478" s="8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100"/>
      <c r="B479" s="119"/>
      <c r="C479" s="89"/>
      <c r="D479" s="120"/>
      <c r="E479" s="9"/>
      <c r="F479" s="8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100"/>
      <c r="B480" s="119"/>
      <c r="C480" s="89"/>
      <c r="D480" s="120"/>
      <c r="E480" s="9"/>
      <c r="F480" s="8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100"/>
      <c r="B481" s="119"/>
      <c r="C481" s="89"/>
      <c r="D481" s="120"/>
      <c r="E481" s="9"/>
      <c r="F481" s="8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100"/>
      <c r="B482" s="119"/>
      <c r="C482" s="89"/>
      <c r="D482" s="120"/>
      <c r="E482" s="9"/>
      <c r="F482" s="8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100"/>
      <c r="B483" s="119"/>
      <c r="C483" s="89"/>
      <c r="D483" s="120"/>
      <c r="E483" s="9"/>
      <c r="F483" s="8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100"/>
      <c r="B484" s="119"/>
      <c r="C484" s="89"/>
      <c r="D484" s="120"/>
      <c r="E484" s="9"/>
      <c r="F484" s="8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100"/>
      <c r="B485" s="119"/>
      <c r="C485" s="89"/>
      <c r="D485" s="120"/>
      <c r="E485" s="9"/>
      <c r="F485" s="8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100"/>
      <c r="B486" s="119"/>
      <c r="C486" s="89"/>
      <c r="D486" s="120"/>
      <c r="E486" s="9"/>
      <c r="F486" s="8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100"/>
      <c r="B487" s="119"/>
      <c r="C487" s="89"/>
      <c r="D487" s="120"/>
      <c r="E487" s="9"/>
      <c r="F487" s="8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100"/>
      <c r="B488" s="119"/>
      <c r="C488" s="89"/>
      <c r="D488" s="120"/>
      <c r="E488" s="9"/>
      <c r="F488" s="8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100"/>
      <c r="B489" s="119"/>
      <c r="C489" s="89"/>
      <c r="D489" s="120"/>
      <c r="E489" s="9"/>
      <c r="F489" s="8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100"/>
      <c r="B490" s="119"/>
      <c r="C490" s="89"/>
      <c r="D490" s="120"/>
      <c r="E490" s="9"/>
      <c r="F490" s="8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100"/>
      <c r="B491" s="119"/>
      <c r="C491" s="89"/>
      <c r="D491" s="120"/>
      <c r="E491" s="9"/>
      <c r="F491" s="8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100"/>
      <c r="B492" s="119"/>
      <c r="C492" s="89"/>
      <c r="D492" s="120"/>
      <c r="E492" s="9"/>
      <c r="F492" s="8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100"/>
      <c r="B493" s="119"/>
      <c r="C493" s="89"/>
      <c r="D493" s="120"/>
      <c r="E493" s="9"/>
      <c r="F493" s="8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100"/>
      <c r="B494" s="119"/>
      <c r="C494" s="89"/>
      <c r="D494" s="120"/>
      <c r="E494" s="9"/>
      <c r="F494" s="8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100"/>
      <c r="B495" s="119"/>
      <c r="C495" s="89"/>
      <c r="D495" s="120"/>
      <c r="E495" s="9"/>
      <c r="F495" s="8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100"/>
      <c r="B496" s="119"/>
      <c r="C496" s="89"/>
      <c r="D496" s="120"/>
      <c r="E496" s="9"/>
      <c r="F496" s="8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100"/>
      <c r="B497" s="119"/>
      <c r="C497" s="89"/>
      <c r="D497" s="120"/>
      <c r="E497" s="9"/>
      <c r="F497" s="8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100"/>
      <c r="B498" s="119"/>
      <c r="C498" s="89"/>
      <c r="D498" s="120"/>
      <c r="E498" s="9"/>
      <c r="F498" s="8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100"/>
      <c r="B499" s="119"/>
      <c r="C499" s="89"/>
      <c r="D499" s="120"/>
      <c r="E499" s="9"/>
      <c r="F499" s="8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100"/>
      <c r="B500" s="119"/>
      <c r="C500" s="89"/>
      <c r="D500" s="120"/>
      <c r="E500" s="9"/>
      <c r="F500" s="8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100"/>
      <c r="B501" s="119"/>
      <c r="C501" s="89"/>
      <c r="D501" s="120"/>
      <c r="E501" s="9"/>
      <c r="F501" s="8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100"/>
      <c r="B502" s="119"/>
      <c r="C502" s="89"/>
      <c r="D502" s="120"/>
      <c r="E502" s="9"/>
      <c r="F502" s="8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100"/>
      <c r="B503" s="119"/>
      <c r="C503" s="89"/>
      <c r="D503" s="120"/>
      <c r="E503" s="9"/>
      <c r="F503" s="8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100"/>
      <c r="B504" s="119"/>
      <c r="C504" s="89"/>
      <c r="D504" s="120"/>
      <c r="E504" s="9"/>
      <c r="F504" s="8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100"/>
      <c r="B505" s="119"/>
      <c r="C505" s="89"/>
      <c r="D505" s="120"/>
      <c r="E505" s="9"/>
      <c r="F505" s="8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100"/>
      <c r="B506" s="119"/>
      <c r="C506" s="89"/>
      <c r="D506" s="120"/>
      <c r="E506" s="9"/>
      <c r="F506" s="8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100"/>
      <c r="B507" s="119"/>
      <c r="C507" s="89"/>
      <c r="D507" s="120"/>
      <c r="E507" s="9"/>
      <c r="F507" s="8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100"/>
      <c r="B508" s="119"/>
      <c r="C508" s="89"/>
      <c r="D508" s="120"/>
      <c r="E508" s="9"/>
      <c r="F508" s="8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100"/>
      <c r="B509" s="119"/>
      <c r="C509" s="89"/>
      <c r="D509" s="120"/>
      <c r="E509" s="9"/>
      <c r="F509" s="8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100"/>
      <c r="B510" s="119"/>
      <c r="C510" s="89"/>
      <c r="D510" s="120"/>
      <c r="E510" s="9"/>
      <c r="F510" s="8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100"/>
      <c r="B511" s="119"/>
      <c r="C511" s="89"/>
      <c r="D511" s="120"/>
      <c r="E511" s="9"/>
      <c r="F511" s="8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100"/>
      <c r="B512" s="119"/>
      <c r="C512" s="89"/>
      <c r="D512" s="120"/>
      <c r="E512" s="9"/>
      <c r="F512" s="8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100"/>
      <c r="B513" s="119"/>
      <c r="C513" s="89"/>
      <c r="D513" s="120"/>
      <c r="E513" s="9"/>
      <c r="F513" s="8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100"/>
      <c r="B514" s="119"/>
      <c r="C514" s="89"/>
      <c r="D514" s="120"/>
      <c r="E514" s="9"/>
      <c r="F514" s="8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100"/>
      <c r="B515" s="119"/>
      <c r="C515" s="89"/>
      <c r="D515" s="120"/>
      <c r="E515" s="9"/>
      <c r="F515" s="8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100"/>
      <c r="B516" s="119"/>
      <c r="C516" s="89"/>
      <c r="D516" s="120"/>
      <c r="E516" s="9"/>
      <c r="F516" s="8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100"/>
      <c r="B517" s="119"/>
      <c r="C517" s="89"/>
      <c r="D517" s="120"/>
      <c r="E517" s="9"/>
      <c r="F517" s="8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100"/>
      <c r="B518" s="119"/>
      <c r="C518" s="89"/>
      <c r="D518" s="120"/>
      <c r="E518" s="9"/>
      <c r="F518" s="8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100"/>
      <c r="B519" s="119"/>
      <c r="C519" s="89"/>
      <c r="D519" s="120"/>
      <c r="E519" s="9"/>
      <c r="F519" s="8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100"/>
      <c r="B520" s="119"/>
      <c r="C520" s="89"/>
      <c r="D520" s="120"/>
      <c r="E520" s="9"/>
      <c r="F520" s="8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100"/>
      <c r="B521" s="119"/>
      <c r="C521" s="89"/>
      <c r="D521" s="120"/>
      <c r="E521" s="9"/>
      <c r="F521" s="8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100"/>
      <c r="B522" s="119"/>
      <c r="C522" s="89"/>
      <c r="D522" s="120"/>
      <c r="E522" s="9"/>
      <c r="F522" s="8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100"/>
      <c r="B523" s="119"/>
      <c r="C523" s="89"/>
      <c r="D523" s="120"/>
      <c r="E523" s="9"/>
      <c r="F523" s="8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100"/>
      <c r="B524" s="119"/>
      <c r="C524" s="89"/>
      <c r="D524" s="120"/>
      <c r="E524" s="9"/>
      <c r="F524" s="8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100"/>
      <c r="B525" s="119"/>
      <c r="C525" s="89"/>
      <c r="D525" s="120"/>
      <c r="E525" s="9"/>
      <c r="F525" s="8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100"/>
      <c r="B526" s="119"/>
      <c r="C526" s="89"/>
      <c r="D526" s="120"/>
      <c r="E526" s="9"/>
      <c r="F526" s="8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100"/>
      <c r="B527" s="119"/>
      <c r="C527" s="89"/>
      <c r="D527" s="120"/>
      <c r="E527" s="9"/>
      <c r="F527" s="8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100"/>
      <c r="B528" s="119"/>
      <c r="C528" s="89"/>
      <c r="D528" s="120"/>
      <c r="E528" s="9"/>
      <c r="F528" s="8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100"/>
      <c r="B529" s="119"/>
      <c r="C529" s="89"/>
      <c r="D529" s="120"/>
      <c r="E529" s="9"/>
      <c r="F529" s="8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100"/>
      <c r="B530" s="119"/>
      <c r="C530" s="89"/>
      <c r="D530" s="120"/>
      <c r="E530" s="9"/>
      <c r="F530" s="8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100"/>
      <c r="B531" s="119"/>
      <c r="C531" s="89"/>
      <c r="D531" s="120"/>
      <c r="E531" s="9"/>
      <c r="F531" s="8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100"/>
      <c r="B532" s="119"/>
      <c r="C532" s="89"/>
      <c r="D532" s="120"/>
      <c r="E532" s="9"/>
      <c r="F532" s="8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100"/>
      <c r="B533" s="119"/>
      <c r="C533" s="89"/>
      <c r="D533" s="120"/>
      <c r="E533" s="9"/>
      <c r="F533" s="8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100"/>
      <c r="B534" s="119"/>
      <c r="C534" s="89"/>
      <c r="D534" s="120"/>
      <c r="E534" s="9"/>
      <c r="F534" s="8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100"/>
      <c r="B535" s="119"/>
      <c r="C535" s="89"/>
      <c r="D535" s="120"/>
      <c r="E535" s="9"/>
      <c r="F535" s="8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100"/>
      <c r="B536" s="119"/>
      <c r="C536" s="89"/>
      <c r="D536" s="120"/>
      <c r="E536" s="9"/>
      <c r="F536" s="8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100"/>
      <c r="B537" s="119"/>
      <c r="C537" s="89"/>
      <c r="D537" s="120"/>
      <c r="E537" s="9"/>
      <c r="F537" s="8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100"/>
      <c r="B538" s="119"/>
      <c r="C538" s="89"/>
      <c r="D538" s="120"/>
      <c r="E538" s="9"/>
      <c r="F538" s="8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100"/>
      <c r="B539" s="119"/>
      <c r="C539" s="89"/>
      <c r="D539" s="120"/>
      <c r="E539" s="9"/>
      <c r="F539" s="8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100"/>
      <c r="B540" s="119"/>
      <c r="C540" s="89"/>
      <c r="D540" s="120"/>
      <c r="E540" s="9"/>
      <c r="F540" s="8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100"/>
      <c r="B541" s="119"/>
      <c r="C541" s="89"/>
      <c r="D541" s="120"/>
      <c r="E541" s="9"/>
      <c r="F541" s="8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100"/>
      <c r="B542" s="119"/>
      <c r="C542" s="89"/>
      <c r="D542" s="120"/>
      <c r="E542" s="9"/>
      <c r="F542" s="8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100"/>
      <c r="B543" s="119"/>
      <c r="C543" s="89"/>
      <c r="D543" s="120"/>
      <c r="E543" s="9"/>
      <c r="F543" s="8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100"/>
      <c r="B544" s="119"/>
      <c r="C544" s="89"/>
      <c r="D544" s="120"/>
      <c r="E544" s="9"/>
      <c r="F544" s="8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100"/>
      <c r="B545" s="119"/>
      <c r="C545" s="89"/>
      <c r="D545" s="120"/>
      <c r="E545" s="9"/>
      <c r="F545" s="8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100"/>
      <c r="B546" s="119"/>
      <c r="C546" s="89"/>
      <c r="D546" s="120"/>
      <c r="E546" s="9"/>
      <c r="F546" s="8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100"/>
      <c r="B547" s="119"/>
      <c r="C547" s="89"/>
      <c r="D547" s="120"/>
      <c r="E547" s="9"/>
      <c r="F547" s="8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100"/>
      <c r="B548" s="119"/>
      <c r="C548" s="89"/>
      <c r="D548" s="120"/>
      <c r="E548" s="9"/>
      <c r="F548" s="8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100"/>
      <c r="B549" s="119"/>
      <c r="C549" s="89"/>
      <c r="D549" s="120"/>
      <c r="E549" s="9"/>
      <c r="F549" s="8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100"/>
      <c r="B550" s="119"/>
      <c r="C550" s="89"/>
      <c r="D550" s="120"/>
      <c r="E550" s="9"/>
      <c r="F550" s="8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100"/>
      <c r="B551" s="119"/>
      <c r="C551" s="89"/>
      <c r="D551" s="120"/>
      <c r="E551" s="9"/>
      <c r="F551" s="8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100"/>
      <c r="B552" s="119"/>
      <c r="C552" s="89"/>
      <c r="D552" s="120"/>
      <c r="E552" s="9"/>
      <c r="F552" s="8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100"/>
      <c r="B553" s="119"/>
      <c r="C553" s="89"/>
      <c r="D553" s="120"/>
      <c r="E553" s="9"/>
      <c r="F553" s="8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100"/>
      <c r="B554" s="119"/>
      <c r="C554" s="89"/>
      <c r="D554" s="120"/>
      <c r="E554" s="9"/>
      <c r="F554" s="8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100"/>
      <c r="B555" s="119"/>
      <c r="C555" s="89"/>
      <c r="D555" s="120"/>
      <c r="E555" s="9"/>
      <c r="F555" s="8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100"/>
      <c r="B556" s="119"/>
      <c r="C556" s="89"/>
      <c r="D556" s="120"/>
      <c r="E556" s="9"/>
      <c r="F556" s="8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100"/>
      <c r="B557" s="119"/>
      <c r="C557" s="89"/>
      <c r="D557" s="120"/>
      <c r="E557" s="9"/>
      <c r="F557" s="8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100"/>
      <c r="B558" s="119"/>
      <c r="C558" s="89"/>
      <c r="D558" s="120"/>
      <c r="E558" s="9"/>
      <c r="F558" s="8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100"/>
      <c r="B559" s="119"/>
      <c r="C559" s="89"/>
      <c r="D559" s="120"/>
      <c r="E559" s="9"/>
      <c r="F559" s="8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100"/>
      <c r="B560" s="119"/>
      <c r="C560" s="89"/>
      <c r="D560" s="120"/>
      <c r="E560" s="9"/>
      <c r="F560" s="8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100"/>
      <c r="B561" s="119"/>
      <c r="C561" s="89"/>
      <c r="D561" s="120"/>
      <c r="E561" s="9"/>
      <c r="F561" s="8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100"/>
      <c r="B562" s="119"/>
      <c r="C562" s="89"/>
      <c r="D562" s="120"/>
      <c r="E562" s="9"/>
      <c r="F562" s="8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100"/>
      <c r="B563" s="119"/>
      <c r="C563" s="89"/>
      <c r="D563" s="120"/>
      <c r="E563" s="9"/>
      <c r="F563" s="8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100"/>
      <c r="B564" s="119"/>
      <c r="C564" s="89"/>
      <c r="D564" s="120"/>
      <c r="E564" s="9"/>
      <c r="F564" s="8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100"/>
      <c r="B565" s="119"/>
      <c r="C565" s="89"/>
      <c r="D565" s="120"/>
      <c r="E565" s="9"/>
      <c r="F565" s="8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100"/>
      <c r="B566" s="119"/>
      <c r="C566" s="89"/>
      <c r="D566" s="120"/>
      <c r="E566" s="9"/>
      <c r="F566" s="8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100"/>
      <c r="B567" s="119"/>
      <c r="C567" s="89"/>
      <c r="D567" s="120"/>
      <c r="E567" s="9"/>
      <c r="F567" s="8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100"/>
      <c r="B568" s="119"/>
      <c r="C568" s="89"/>
      <c r="D568" s="120"/>
      <c r="E568" s="9"/>
      <c r="F568" s="8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100"/>
      <c r="B569" s="119"/>
      <c r="C569" s="89"/>
      <c r="D569" s="120"/>
      <c r="E569" s="9"/>
      <c r="F569" s="8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100"/>
      <c r="B570" s="119"/>
      <c r="C570" s="89"/>
      <c r="D570" s="120"/>
      <c r="E570" s="9"/>
      <c r="F570" s="8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100"/>
      <c r="B571" s="119"/>
      <c r="C571" s="89"/>
      <c r="D571" s="120"/>
      <c r="E571" s="9"/>
      <c r="F571" s="8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100"/>
      <c r="B572" s="119"/>
      <c r="C572" s="89"/>
      <c r="D572" s="120"/>
      <c r="E572" s="9"/>
      <c r="F572" s="8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100"/>
      <c r="B573" s="119"/>
      <c r="C573" s="89"/>
      <c r="D573" s="120"/>
      <c r="E573" s="9"/>
      <c r="F573" s="8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100"/>
      <c r="B574" s="119"/>
      <c r="C574" s="89"/>
      <c r="D574" s="120"/>
      <c r="E574" s="9"/>
      <c r="F574" s="8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100"/>
      <c r="B575" s="119"/>
      <c r="C575" s="89"/>
      <c r="D575" s="120"/>
      <c r="E575" s="9"/>
      <c r="F575" s="8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100"/>
      <c r="B576" s="119"/>
      <c r="C576" s="89"/>
      <c r="D576" s="120"/>
      <c r="E576" s="9"/>
      <c r="F576" s="8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100"/>
      <c r="B577" s="119"/>
      <c r="C577" s="89"/>
      <c r="D577" s="120"/>
      <c r="E577" s="9"/>
      <c r="F577" s="8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100"/>
      <c r="B578" s="119"/>
      <c r="C578" s="89"/>
      <c r="D578" s="120"/>
      <c r="E578" s="9"/>
      <c r="F578" s="8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100"/>
      <c r="B579" s="119"/>
      <c r="C579" s="89"/>
      <c r="D579" s="120"/>
      <c r="E579" s="9"/>
      <c r="F579" s="8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100"/>
      <c r="B580" s="119"/>
      <c r="C580" s="89"/>
      <c r="D580" s="120"/>
      <c r="E580" s="9"/>
      <c r="F580" s="8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100"/>
      <c r="B581" s="119"/>
      <c r="C581" s="89"/>
      <c r="D581" s="120"/>
      <c r="E581" s="9"/>
      <c r="F581" s="8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100"/>
      <c r="B582" s="119"/>
      <c r="C582" s="89"/>
      <c r="D582" s="120"/>
      <c r="E582" s="9"/>
      <c r="F582" s="8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100"/>
      <c r="B583" s="119"/>
      <c r="C583" s="89"/>
      <c r="D583" s="120"/>
      <c r="E583" s="9"/>
      <c r="F583" s="8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100"/>
      <c r="B584" s="119"/>
      <c r="C584" s="89"/>
      <c r="D584" s="120"/>
      <c r="E584" s="9"/>
      <c r="F584" s="8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100"/>
      <c r="B585" s="119"/>
      <c r="C585" s="89"/>
      <c r="D585" s="120"/>
      <c r="E585" s="9"/>
      <c r="F585" s="8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100"/>
      <c r="B586" s="119"/>
      <c r="C586" s="89"/>
      <c r="D586" s="120"/>
      <c r="E586" s="9"/>
      <c r="F586" s="8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100"/>
      <c r="B587" s="119"/>
      <c r="C587" s="89"/>
      <c r="D587" s="120"/>
      <c r="E587" s="9"/>
      <c r="F587" s="8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100"/>
      <c r="B588" s="119"/>
      <c r="C588" s="89"/>
      <c r="D588" s="120"/>
      <c r="E588" s="9"/>
      <c r="F588" s="8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100"/>
      <c r="B589" s="119"/>
      <c r="C589" s="89"/>
      <c r="D589" s="120"/>
      <c r="E589" s="9"/>
      <c r="F589" s="8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100"/>
      <c r="B590" s="119"/>
      <c r="C590" s="89"/>
      <c r="D590" s="120"/>
      <c r="E590" s="9"/>
      <c r="F590" s="8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100"/>
      <c r="B591" s="119"/>
      <c r="C591" s="89"/>
      <c r="D591" s="120"/>
      <c r="E591" s="9"/>
      <c r="F591" s="8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100"/>
      <c r="B592" s="119"/>
      <c r="C592" s="89"/>
      <c r="D592" s="120"/>
      <c r="E592" s="9"/>
      <c r="F592" s="8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100"/>
      <c r="B593" s="119"/>
      <c r="C593" s="89"/>
      <c r="D593" s="120"/>
      <c r="E593" s="9"/>
      <c r="F593" s="8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100"/>
      <c r="B594" s="119"/>
      <c r="C594" s="89"/>
      <c r="D594" s="120"/>
      <c r="E594" s="9"/>
      <c r="F594" s="8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100"/>
      <c r="B595" s="119"/>
      <c r="C595" s="89"/>
      <c r="D595" s="120"/>
      <c r="E595" s="9"/>
      <c r="F595" s="8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100"/>
      <c r="B596" s="119"/>
      <c r="C596" s="89"/>
      <c r="D596" s="120"/>
      <c r="E596" s="9"/>
      <c r="F596" s="8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100"/>
      <c r="B597" s="119"/>
      <c r="C597" s="89"/>
      <c r="D597" s="120"/>
      <c r="E597" s="9"/>
      <c r="F597" s="8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100"/>
      <c r="B598" s="119"/>
      <c r="C598" s="89"/>
      <c r="D598" s="120"/>
      <c r="E598" s="9"/>
      <c r="F598" s="8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100"/>
      <c r="B599" s="119"/>
      <c r="C599" s="89"/>
      <c r="D599" s="120"/>
      <c r="E599" s="9"/>
      <c r="F599" s="8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100"/>
      <c r="B600" s="119"/>
      <c r="C600" s="89"/>
      <c r="D600" s="120"/>
      <c r="E600" s="9"/>
      <c r="F600" s="8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100"/>
      <c r="B601" s="119"/>
      <c r="C601" s="89"/>
      <c r="D601" s="120"/>
      <c r="E601" s="9"/>
      <c r="F601" s="8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100"/>
      <c r="B602" s="119"/>
      <c r="C602" s="89"/>
      <c r="D602" s="120"/>
      <c r="E602" s="9"/>
      <c r="F602" s="8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100"/>
      <c r="B603" s="119"/>
      <c r="C603" s="89"/>
      <c r="D603" s="120"/>
      <c r="E603" s="9"/>
      <c r="F603" s="8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100"/>
      <c r="B604" s="119"/>
      <c r="C604" s="89"/>
      <c r="D604" s="120"/>
      <c r="E604" s="9"/>
      <c r="F604" s="8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100"/>
      <c r="B605" s="119"/>
      <c r="C605" s="89"/>
      <c r="D605" s="120"/>
      <c r="E605" s="9"/>
      <c r="F605" s="8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100"/>
      <c r="B606" s="119"/>
      <c r="C606" s="89"/>
      <c r="D606" s="120"/>
      <c r="E606" s="9"/>
      <c r="F606" s="8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100"/>
      <c r="B607" s="119"/>
      <c r="C607" s="89"/>
      <c r="D607" s="120"/>
      <c r="E607" s="9"/>
      <c r="F607" s="8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100"/>
      <c r="B608" s="119"/>
      <c r="C608" s="89"/>
      <c r="D608" s="120"/>
      <c r="E608" s="9"/>
      <c r="F608" s="8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100"/>
      <c r="B609" s="119"/>
      <c r="C609" s="89"/>
      <c r="D609" s="120"/>
      <c r="E609" s="9"/>
      <c r="F609" s="8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100"/>
      <c r="B610" s="119"/>
      <c r="C610" s="89"/>
      <c r="D610" s="120"/>
      <c r="E610" s="9"/>
      <c r="F610" s="8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100"/>
      <c r="B611" s="119"/>
      <c r="C611" s="89"/>
      <c r="D611" s="120"/>
      <c r="E611" s="9"/>
      <c r="F611" s="8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100"/>
      <c r="B612" s="119"/>
      <c r="C612" s="89"/>
      <c r="D612" s="120"/>
      <c r="E612" s="9"/>
      <c r="F612" s="8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100"/>
      <c r="B613" s="119"/>
      <c r="C613" s="89"/>
      <c r="D613" s="120"/>
      <c r="E613" s="9"/>
      <c r="F613" s="8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100"/>
      <c r="B614" s="119"/>
      <c r="C614" s="89"/>
      <c r="D614" s="120"/>
      <c r="E614" s="9"/>
      <c r="F614" s="8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100"/>
      <c r="B615" s="119"/>
      <c r="C615" s="89"/>
      <c r="D615" s="120"/>
      <c r="E615" s="9"/>
      <c r="F615" s="8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100"/>
      <c r="B616" s="119"/>
      <c r="C616" s="89"/>
      <c r="D616" s="120"/>
      <c r="E616" s="9"/>
      <c r="F616" s="8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100"/>
      <c r="B617" s="119"/>
      <c r="C617" s="89"/>
      <c r="D617" s="120"/>
      <c r="E617" s="9"/>
      <c r="F617" s="8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100"/>
      <c r="B618" s="119"/>
      <c r="C618" s="89"/>
      <c r="D618" s="120"/>
      <c r="E618" s="9"/>
      <c r="F618" s="8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100"/>
      <c r="B619" s="119"/>
      <c r="C619" s="89"/>
      <c r="D619" s="120"/>
      <c r="E619" s="9"/>
      <c r="F619" s="8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100"/>
      <c r="B620" s="119"/>
      <c r="C620" s="89"/>
      <c r="D620" s="120"/>
      <c r="E620" s="9"/>
      <c r="F620" s="8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100"/>
      <c r="B621" s="119"/>
      <c r="C621" s="89"/>
      <c r="D621" s="120"/>
      <c r="E621" s="9"/>
      <c r="F621" s="8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100"/>
      <c r="B622" s="119"/>
      <c r="C622" s="89"/>
      <c r="D622" s="120"/>
      <c r="E622" s="9"/>
      <c r="F622" s="8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100"/>
      <c r="B623" s="119"/>
      <c r="C623" s="89"/>
      <c r="D623" s="120"/>
      <c r="E623" s="9"/>
      <c r="F623" s="8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100"/>
      <c r="B624" s="119"/>
      <c r="C624" s="89"/>
      <c r="D624" s="120"/>
      <c r="E624" s="9"/>
      <c r="F624" s="8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100"/>
      <c r="B625" s="119"/>
      <c r="C625" s="89"/>
      <c r="D625" s="120"/>
      <c r="E625" s="9"/>
      <c r="F625" s="8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100"/>
      <c r="B626" s="119"/>
      <c r="C626" s="89"/>
      <c r="D626" s="120"/>
      <c r="E626" s="9"/>
      <c r="F626" s="8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100"/>
      <c r="B627" s="119"/>
      <c r="C627" s="89"/>
      <c r="D627" s="120"/>
      <c r="E627" s="9"/>
      <c r="F627" s="8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100"/>
      <c r="B628" s="119"/>
      <c r="C628" s="89"/>
      <c r="D628" s="120"/>
      <c r="E628" s="9"/>
      <c r="F628" s="8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100"/>
      <c r="B629" s="119"/>
      <c r="C629" s="89"/>
      <c r="D629" s="120"/>
      <c r="E629" s="9"/>
      <c r="F629" s="8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100"/>
      <c r="B630" s="119"/>
      <c r="C630" s="89"/>
      <c r="D630" s="120"/>
      <c r="E630" s="9"/>
      <c r="F630" s="8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100"/>
      <c r="B631" s="119"/>
      <c r="C631" s="89"/>
      <c r="D631" s="120"/>
      <c r="E631" s="9"/>
      <c r="F631" s="8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100"/>
      <c r="B632" s="119"/>
      <c r="C632" s="89"/>
      <c r="D632" s="120"/>
      <c r="E632" s="9"/>
      <c r="F632" s="8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100"/>
      <c r="B633" s="119"/>
      <c r="C633" s="89"/>
      <c r="D633" s="120"/>
      <c r="E633" s="9"/>
      <c r="F633" s="8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100"/>
      <c r="B634" s="119"/>
      <c r="C634" s="89"/>
      <c r="D634" s="120"/>
      <c r="E634" s="9"/>
      <c r="F634" s="8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100"/>
      <c r="B635" s="119"/>
      <c r="C635" s="89"/>
      <c r="D635" s="120"/>
      <c r="E635" s="9"/>
      <c r="F635" s="8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100"/>
      <c r="B636" s="119"/>
      <c r="C636" s="89"/>
      <c r="D636" s="120"/>
      <c r="E636" s="9"/>
      <c r="F636" s="8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100"/>
      <c r="B637" s="119"/>
      <c r="C637" s="89"/>
      <c r="D637" s="120"/>
      <c r="E637" s="9"/>
      <c r="F637" s="8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100"/>
      <c r="B638" s="119"/>
      <c r="C638" s="89"/>
      <c r="D638" s="120"/>
      <c r="E638" s="9"/>
      <c r="F638" s="8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100"/>
      <c r="B639" s="119"/>
      <c r="C639" s="89"/>
      <c r="D639" s="120"/>
      <c r="E639" s="9"/>
      <c r="F639" s="8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100"/>
      <c r="B640" s="119"/>
      <c r="C640" s="89"/>
      <c r="D640" s="120"/>
      <c r="E640" s="9"/>
      <c r="F640" s="8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100"/>
      <c r="B641" s="119"/>
      <c r="C641" s="89"/>
      <c r="D641" s="120"/>
      <c r="E641" s="9"/>
      <c r="F641" s="8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100"/>
      <c r="B642" s="119"/>
      <c r="C642" s="89"/>
      <c r="D642" s="120"/>
      <c r="E642" s="9"/>
      <c r="F642" s="8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100"/>
      <c r="B643" s="119"/>
      <c r="C643" s="89"/>
      <c r="D643" s="120"/>
      <c r="E643" s="9"/>
      <c r="F643" s="8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100"/>
      <c r="B644" s="119"/>
      <c r="C644" s="89"/>
      <c r="D644" s="120"/>
      <c r="E644" s="9"/>
      <c r="F644" s="8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100"/>
      <c r="B645" s="119"/>
      <c r="C645" s="89"/>
      <c r="D645" s="120"/>
      <c r="E645" s="9"/>
      <c r="F645" s="8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100"/>
      <c r="B646" s="119"/>
      <c r="C646" s="89"/>
      <c r="D646" s="120"/>
      <c r="E646" s="9"/>
      <c r="F646" s="8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100"/>
      <c r="B647" s="119"/>
      <c r="C647" s="89"/>
      <c r="D647" s="120"/>
      <c r="E647" s="9"/>
      <c r="F647" s="8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100"/>
      <c r="B648" s="119"/>
      <c r="C648" s="89"/>
      <c r="D648" s="120"/>
      <c r="E648" s="9"/>
      <c r="F648" s="8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100"/>
      <c r="B649" s="119"/>
      <c r="C649" s="89"/>
      <c r="D649" s="120"/>
      <c r="E649" s="9"/>
      <c r="F649" s="8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100"/>
      <c r="B650" s="119"/>
      <c r="C650" s="89"/>
      <c r="D650" s="120"/>
      <c r="E650" s="9"/>
      <c r="F650" s="8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100"/>
      <c r="B651" s="119"/>
      <c r="C651" s="89"/>
      <c r="D651" s="120"/>
      <c r="E651" s="9"/>
      <c r="F651" s="8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100"/>
      <c r="B652" s="119"/>
      <c r="C652" s="89"/>
      <c r="D652" s="120"/>
      <c r="E652" s="9"/>
      <c r="F652" s="8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100"/>
      <c r="B653" s="119"/>
      <c r="C653" s="89"/>
      <c r="D653" s="120"/>
      <c r="E653" s="9"/>
      <c r="F653" s="8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100"/>
      <c r="B654" s="119"/>
      <c r="C654" s="89"/>
      <c r="D654" s="120"/>
      <c r="E654" s="9"/>
      <c r="F654" s="8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100"/>
      <c r="B655" s="119"/>
      <c r="C655" s="89"/>
      <c r="D655" s="120"/>
      <c r="E655" s="9"/>
      <c r="F655" s="8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100"/>
      <c r="B656" s="119"/>
      <c r="C656" s="89"/>
      <c r="D656" s="120"/>
      <c r="E656" s="9"/>
      <c r="F656" s="8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100"/>
      <c r="B657" s="119"/>
      <c r="C657" s="89"/>
      <c r="D657" s="120"/>
      <c r="E657" s="9"/>
      <c r="F657" s="8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100"/>
      <c r="B658" s="119"/>
      <c r="C658" s="89"/>
      <c r="D658" s="120"/>
      <c r="E658" s="9"/>
      <c r="F658" s="8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100"/>
      <c r="B659" s="119"/>
      <c r="C659" s="89"/>
      <c r="D659" s="120"/>
      <c r="E659" s="9"/>
      <c r="F659" s="8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100"/>
      <c r="B660" s="119"/>
      <c r="C660" s="89"/>
      <c r="D660" s="120"/>
      <c r="E660" s="9"/>
      <c r="F660" s="8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100"/>
      <c r="B661" s="119"/>
      <c r="C661" s="89"/>
      <c r="D661" s="120"/>
      <c r="E661" s="9"/>
      <c r="F661" s="8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100"/>
      <c r="B662" s="119"/>
      <c r="C662" s="89"/>
      <c r="D662" s="120"/>
      <c r="E662" s="9"/>
      <c r="F662" s="8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100"/>
      <c r="B663" s="119"/>
      <c r="C663" s="89"/>
      <c r="D663" s="120"/>
      <c r="E663" s="9"/>
      <c r="F663" s="8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100"/>
      <c r="B664" s="119"/>
      <c r="C664" s="89"/>
      <c r="D664" s="120"/>
      <c r="E664" s="9"/>
      <c r="F664" s="8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100"/>
      <c r="B665" s="119"/>
      <c r="C665" s="89"/>
      <c r="D665" s="120"/>
      <c r="E665" s="9"/>
      <c r="F665" s="8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100"/>
      <c r="B666" s="119"/>
      <c r="C666" s="89"/>
      <c r="D666" s="120"/>
      <c r="E666" s="9"/>
      <c r="F666" s="8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100"/>
      <c r="B667" s="119"/>
      <c r="C667" s="89"/>
      <c r="D667" s="120"/>
      <c r="E667" s="9"/>
      <c r="F667" s="8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100"/>
      <c r="B668" s="119"/>
      <c r="C668" s="89"/>
      <c r="D668" s="120"/>
      <c r="E668" s="9"/>
      <c r="F668" s="8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100"/>
      <c r="B669" s="119"/>
      <c r="C669" s="89"/>
      <c r="D669" s="120"/>
      <c r="E669" s="9"/>
      <c r="F669" s="8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100"/>
      <c r="B670" s="119"/>
      <c r="C670" s="89"/>
      <c r="D670" s="120"/>
      <c r="E670" s="9"/>
      <c r="F670" s="8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100"/>
      <c r="B671" s="119"/>
      <c r="C671" s="89"/>
      <c r="D671" s="120"/>
      <c r="E671" s="9"/>
      <c r="F671" s="8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100"/>
      <c r="B672" s="119"/>
      <c r="C672" s="89"/>
      <c r="D672" s="120"/>
      <c r="E672" s="9"/>
      <c r="F672" s="8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100"/>
      <c r="B673" s="119"/>
      <c r="C673" s="89"/>
      <c r="D673" s="120"/>
      <c r="E673" s="9"/>
      <c r="F673" s="8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100"/>
      <c r="B674" s="119"/>
      <c r="C674" s="89"/>
      <c r="D674" s="120"/>
      <c r="E674" s="9"/>
      <c r="F674" s="8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100"/>
      <c r="B675" s="119"/>
      <c r="C675" s="89"/>
      <c r="D675" s="120"/>
      <c r="E675" s="9"/>
      <c r="F675" s="8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100"/>
      <c r="B676" s="119"/>
      <c r="C676" s="89"/>
      <c r="D676" s="120"/>
      <c r="E676" s="9"/>
      <c r="F676" s="8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100"/>
      <c r="B677" s="119"/>
      <c r="C677" s="89"/>
      <c r="D677" s="120"/>
      <c r="E677" s="9"/>
      <c r="F677" s="8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100"/>
      <c r="B678" s="119"/>
      <c r="C678" s="89"/>
      <c r="D678" s="120"/>
      <c r="E678" s="9"/>
      <c r="F678" s="8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100"/>
      <c r="B679" s="119"/>
      <c r="C679" s="89"/>
      <c r="D679" s="120"/>
      <c r="E679" s="9"/>
      <c r="F679" s="8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100"/>
      <c r="B680" s="119"/>
      <c r="C680" s="89"/>
      <c r="D680" s="120"/>
      <c r="E680" s="9"/>
      <c r="F680" s="8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100"/>
      <c r="B681" s="119"/>
      <c r="C681" s="89"/>
      <c r="D681" s="120"/>
      <c r="E681" s="9"/>
      <c r="F681" s="8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100"/>
      <c r="B682" s="119"/>
      <c r="C682" s="89"/>
      <c r="D682" s="120"/>
      <c r="E682" s="9"/>
      <c r="F682" s="8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100"/>
      <c r="B683" s="119"/>
      <c r="C683" s="89"/>
      <c r="D683" s="120"/>
      <c r="E683" s="9"/>
      <c r="F683" s="8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100"/>
      <c r="B684" s="119"/>
      <c r="C684" s="89"/>
      <c r="D684" s="120"/>
      <c r="E684" s="9"/>
      <c r="F684" s="8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100"/>
      <c r="B685" s="119"/>
      <c r="C685" s="89"/>
      <c r="D685" s="120"/>
      <c r="E685" s="9"/>
      <c r="F685" s="8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100"/>
      <c r="B686" s="119"/>
      <c r="C686" s="89"/>
      <c r="D686" s="120"/>
      <c r="E686" s="9"/>
      <c r="F686" s="8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100"/>
      <c r="B687" s="119"/>
      <c r="C687" s="89"/>
      <c r="D687" s="120"/>
      <c r="E687" s="9"/>
      <c r="F687" s="8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100"/>
      <c r="B688" s="119"/>
      <c r="C688" s="89"/>
      <c r="D688" s="120"/>
      <c r="E688" s="9"/>
      <c r="F688" s="8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100"/>
      <c r="B689" s="119"/>
      <c r="C689" s="89"/>
      <c r="D689" s="120"/>
      <c r="E689" s="9"/>
      <c r="F689" s="8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100"/>
      <c r="B690" s="119"/>
      <c r="C690" s="89"/>
      <c r="D690" s="120"/>
      <c r="E690" s="9"/>
      <c r="F690" s="8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100"/>
      <c r="B691" s="119"/>
      <c r="C691" s="89"/>
      <c r="D691" s="120"/>
      <c r="E691" s="9"/>
      <c r="F691" s="8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100"/>
      <c r="B692" s="119"/>
      <c r="C692" s="89"/>
      <c r="D692" s="120"/>
      <c r="E692" s="9"/>
      <c r="F692" s="8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100"/>
      <c r="B693" s="119"/>
      <c r="C693" s="89"/>
      <c r="D693" s="120"/>
      <c r="E693" s="9"/>
      <c r="F693" s="8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100"/>
      <c r="B694" s="119"/>
      <c r="C694" s="89"/>
      <c r="D694" s="120"/>
      <c r="E694" s="9"/>
      <c r="F694" s="8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100"/>
      <c r="B695" s="119"/>
      <c r="C695" s="89"/>
      <c r="D695" s="120"/>
      <c r="E695" s="9"/>
      <c r="F695" s="8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100"/>
      <c r="B696" s="119"/>
      <c r="C696" s="89"/>
      <c r="D696" s="120"/>
      <c r="E696" s="9"/>
      <c r="F696" s="8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100"/>
      <c r="B697" s="119"/>
      <c r="C697" s="89"/>
      <c r="D697" s="120"/>
      <c r="E697" s="9"/>
      <c r="F697" s="8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100"/>
      <c r="B698" s="119"/>
      <c r="C698" s="89"/>
      <c r="D698" s="120"/>
      <c r="E698" s="9"/>
      <c r="F698" s="8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100"/>
      <c r="B699" s="119"/>
      <c r="C699" s="89"/>
      <c r="D699" s="120"/>
      <c r="E699" s="9"/>
      <c r="F699" s="8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100"/>
      <c r="B700" s="119"/>
      <c r="C700" s="89"/>
      <c r="D700" s="120"/>
      <c r="E700" s="9"/>
      <c r="F700" s="8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100"/>
      <c r="B701" s="119"/>
      <c r="C701" s="89"/>
      <c r="D701" s="120"/>
      <c r="E701" s="9"/>
      <c r="F701" s="8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100"/>
      <c r="B702" s="119"/>
      <c r="C702" s="89"/>
      <c r="D702" s="120"/>
      <c r="E702" s="9"/>
      <c r="F702" s="8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100"/>
      <c r="B703" s="119"/>
      <c r="C703" s="89"/>
      <c r="D703" s="120"/>
      <c r="E703" s="9"/>
      <c r="F703" s="8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100"/>
      <c r="B704" s="119"/>
      <c r="C704" s="89"/>
      <c r="D704" s="120"/>
      <c r="E704" s="9"/>
      <c r="F704" s="8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100"/>
      <c r="B705" s="119"/>
      <c r="C705" s="89"/>
      <c r="D705" s="120"/>
      <c r="E705" s="9"/>
      <c r="F705" s="8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100"/>
      <c r="B706" s="119"/>
      <c r="C706" s="89"/>
      <c r="D706" s="120"/>
      <c r="E706" s="9"/>
      <c r="F706" s="8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100"/>
      <c r="B707" s="119"/>
      <c r="C707" s="89"/>
      <c r="D707" s="120"/>
      <c r="E707" s="9"/>
      <c r="F707" s="8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100"/>
      <c r="B708" s="119"/>
      <c r="C708" s="89"/>
      <c r="D708" s="120"/>
      <c r="E708" s="9"/>
      <c r="F708" s="8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100"/>
      <c r="B709" s="119"/>
      <c r="C709" s="89"/>
      <c r="D709" s="120"/>
      <c r="E709" s="9"/>
      <c r="F709" s="8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100"/>
      <c r="B710" s="119"/>
      <c r="C710" s="89"/>
      <c r="D710" s="120"/>
      <c r="E710" s="9"/>
      <c r="F710" s="8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100"/>
      <c r="B711" s="119"/>
      <c r="C711" s="89"/>
      <c r="D711" s="120"/>
      <c r="E711" s="9"/>
      <c r="F711" s="8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100"/>
      <c r="B712" s="119"/>
      <c r="C712" s="89"/>
      <c r="D712" s="120"/>
      <c r="E712" s="9"/>
      <c r="F712" s="8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100"/>
      <c r="B713" s="119"/>
      <c r="C713" s="89"/>
      <c r="D713" s="120"/>
      <c r="E713" s="9"/>
      <c r="F713" s="8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100"/>
      <c r="B714" s="119"/>
      <c r="C714" s="89"/>
      <c r="D714" s="120"/>
      <c r="E714" s="9"/>
      <c r="F714" s="8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100"/>
      <c r="B715" s="119"/>
      <c r="C715" s="89"/>
      <c r="D715" s="120"/>
      <c r="E715" s="9"/>
      <c r="F715" s="8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100"/>
      <c r="B716" s="119"/>
      <c r="C716" s="89"/>
      <c r="D716" s="120"/>
      <c r="E716" s="9"/>
      <c r="F716" s="8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100"/>
      <c r="B717" s="119"/>
      <c r="C717" s="89"/>
      <c r="D717" s="120"/>
      <c r="E717" s="9"/>
      <c r="F717" s="8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100"/>
      <c r="B718" s="119"/>
      <c r="C718" s="89"/>
      <c r="D718" s="120"/>
      <c r="E718" s="9"/>
      <c r="F718" s="8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100"/>
      <c r="B719" s="119"/>
      <c r="C719" s="89"/>
      <c r="D719" s="120"/>
      <c r="E719" s="9"/>
      <c r="F719" s="8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100"/>
      <c r="B720" s="119"/>
      <c r="C720" s="89"/>
      <c r="D720" s="120"/>
      <c r="E720" s="9"/>
      <c r="F720" s="8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100"/>
      <c r="B721" s="119"/>
      <c r="C721" s="89"/>
      <c r="D721" s="120"/>
      <c r="E721" s="9"/>
      <c r="F721" s="8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100"/>
      <c r="B722" s="119"/>
      <c r="C722" s="89"/>
      <c r="D722" s="120"/>
      <c r="E722" s="9"/>
      <c r="F722" s="8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100"/>
      <c r="B723" s="119"/>
      <c r="C723" s="89"/>
      <c r="D723" s="120"/>
      <c r="E723" s="9"/>
      <c r="F723" s="8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100"/>
      <c r="B724" s="119"/>
      <c r="C724" s="89"/>
      <c r="D724" s="120"/>
      <c r="E724" s="9"/>
      <c r="F724" s="8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100"/>
      <c r="B725" s="119"/>
      <c r="C725" s="89"/>
      <c r="D725" s="120"/>
      <c r="E725" s="9"/>
      <c r="F725" s="8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100"/>
      <c r="B726" s="119"/>
      <c r="C726" s="89"/>
      <c r="D726" s="120"/>
      <c r="E726" s="9"/>
      <c r="F726" s="8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100"/>
      <c r="B727" s="119"/>
      <c r="C727" s="89"/>
      <c r="D727" s="120"/>
      <c r="E727" s="9"/>
      <c r="F727" s="8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100"/>
      <c r="B728" s="119"/>
      <c r="C728" s="89"/>
      <c r="D728" s="120"/>
      <c r="E728" s="9"/>
      <c r="F728" s="8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100"/>
      <c r="B729" s="119"/>
      <c r="C729" s="89"/>
      <c r="D729" s="120"/>
      <c r="E729" s="9"/>
      <c r="F729" s="8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100"/>
      <c r="B730" s="119"/>
      <c r="C730" s="89"/>
      <c r="D730" s="120"/>
      <c r="E730" s="9"/>
      <c r="F730" s="8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100"/>
      <c r="B731" s="119"/>
      <c r="C731" s="89"/>
      <c r="D731" s="120"/>
      <c r="E731" s="9"/>
      <c r="F731" s="8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100"/>
      <c r="B732" s="119"/>
      <c r="C732" s="89"/>
      <c r="D732" s="120"/>
      <c r="E732" s="9"/>
      <c r="F732" s="8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100"/>
      <c r="B733" s="119"/>
      <c r="C733" s="89"/>
      <c r="D733" s="120"/>
      <c r="E733" s="9"/>
      <c r="F733" s="8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100"/>
      <c r="B734" s="119"/>
      <c r="C734" s="89"/>
      <c r="D734" s="120"/>
      <c r="E734" s="9"/>
      <c r="F734" s="8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100"/>
      <c r="B735" s="119"/>
      <c r="C735" s="89"/>
      <c r="D735" s="120"/>
      <c r="E735" s="9"/>
      <c r="F735" s="8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100"/>
      <c r="B736" s="119"/>
      <c r="C736" s="89"/>
      <c r="D736" s="120"/>
      <c r="E736" s="9"/>
      <c r="F736" s="8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100"/>
      <c r="B737" s="119"/>
      <c r="C737" s="89"/>
      <c r="D737" s="120"/>
      <c r="E737" s="9"/>
      <c r="F737" s="8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100"/>
      <c r="B738" s="119"/>
      <c r="C738" s="89"/>
      <c r="D738" s="120"/>
      <c r="E738" s="9"/>
      <c r="F738" s="8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100"/>
      <c r="B739" s="119"/>
      <c r="C739" s="89"/>
      <c r="D739" s="120"/>
      <c r="E739" s="9"/>
      <c r="F739" s="8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100"/>
      <c r="B740" s="119"/>
      <c r="C740" s="89"/>
      <c r="D740" s="120"/>
      <c r="E740" s="9"/>
      <c r="F740" s="8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100"/>
      <c r="B741" s="119"/>
      <c r="C741" s="89"/>
      <c r="D741" s="120"/>
      <c r="E741" s="9"/>
      <c r="F741" s="8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100"/>
      <c r="B742" s="119"/>
      <c r="C742" s="89"/>
      <c r="D742" s="120"/>
      <c r="E742" s="9"/>
      <c r="F742" s="88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100"/>
      <c r="B743" s="119"/>
      <c r="C743" s="89"/>
      <c r="D743" s="120"/>
      <c r="E743" s="9"/>
      <c r="F743" s="8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100"/>
      <c r="B744" s="119"/>
      <c r="C744" s="89"/>
      <c r="D744" s="120"/>
      <c r="E744" s="9"/>
      <c r="F744" s="8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100"/>
      <c r="B745" s="119"/>
      <c r="C745" s="89"/>
      <c r="D745" s="120"/>
      <c r="E745" s="9"/>
      <c r="F745" s="8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100"/>
      <c r="B746" s="119"/>
      <c r="C746" s="89"/>
      <c r="D746" s="120"/>
      <c r="E746" s="9"/>
      <c r="F746" s="8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100"/>
      <c r="B747" s="119"/>
      <c r="C747" s="89"/>
      <c r="D747" s="120"/>
      <c r="E747" s="9"/>
      <c r="F747" s="8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100"/>
      <c r="B748" s="119"/>
      <c r="C748" s="89"/>
      <c r="D748" s="120"/>
      <c r="E748" s="9"/>
      <c r="F748" s="88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100"/>
      <c r="B749" s="119"/>
      <c r="C749" s="89"/>
      <c r="D749" s="120"/>
      <c r="E749" s="9"/>
      <c r="F749" s="88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100"/>
      <c r="B750" s="119"/>
      <c r="C750" s="89"/>
      <c r="D750" s="120"/>
      <c r="E750" s="9"/>
      <c r="F750" s="88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100"/>
      <c r="B751" s="119"/>
      <c r="C751" s="89"/>
      <c r="D751" s="120"/>
      <c r="E751" s="9"/>
      <c r="F751" s="88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100"/>
      <c r="B752" s="119"/>
      <c r="C752" s="89"/>
      <c r="D752" s="120"/>
      <c r="E752" s="9"/>
      <c r="F752" s="88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100"/>
      <c r="B753" s="119"/>
      <c r="C753" s="89"/>
      <c r="D753" s="120"/>
      <c r="E753" s="9"/>
      <c r="F753" s="88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100"/>
      <c r="B754" s="119"/>
      <c r="C754" s="89"/>
      <c r="D754" s="120"/>
      <c r="E754" s="9"/>
      <c r="F754" s="88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100"/>
      <c r="B755" s="119"/>
      <c r="C755" s="89"/>
      <c r="D755" s="120"/>
      <c r="E755" s="9"/>
      <c r="F755" s="88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100"/>
      <c r="B756" s="119"/>
      <c r="C756" s="89"/>
      <c r="D756" s="120"/>
      <c r="E756" s="9"/>
      <c r="F756" s="88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100"/>
      <c r="B757" s="119"/>
      <c r="C757" s="89"/>
      <c r="D757" s="120"/>
      <c r="E757" s="9"/>
      <c r="F757" s="88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100"/>
      <c r="B758" s="119"/>
      <c r="C758" s="89"/>
      <c r="D758" s="120"/>
      <c r="E758" s="9"/>
      <c r="F758" s="88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100"/>
      <c r="B759" s="119"/>
      <c r="C759" s="89"/>
      <c r="D759" s="120"/>
      <c r="E759" s="9"/>
      <c r="F759" s="88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100"/>
      <c r="B760" s="119"/>
      <c r="C760" s="89"/>
      <c r="D760" s="120"/>
      <c r="E760" s="9"/>
      <c r="F760" s="88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100"/>
      <c r="B761" s="119"/>
      <c r="C761" s="89"/>
      <c r="D761" s="120"/>
      <c r="E761" s="9"/>
      <c r="F761" s="88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100"/>
      <c r="B762" s="119"/>
      <c r="C762" s="89"/>
      <c r="D762" s="120"/>
      <c r="E762" s="9"/>
      <c r="F762" s="8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100"/>
      <c r="B763" s="119"/>
      <c r="C763" s="89"/>
      <c r="D763" s="120"/>
      <c r="E763" s="9"/>
      <c r="F763" s="88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100"/>
      <c r="B764" s="119"/>
      <c r="C764" s="89"/>
      <c r="D764" s="120"/>
      <c r="E764" s="9"/>
      <c r="F764" s="8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100"/>
      <c r="B765" s="119"/>
      <c r="C765" s="89"/>
      <c r="D765" s="120"/>
      <c r="E765" s="9"/>
      <c r="F765" s="8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100"/>
      <c r="B766" s="119"/>
      <c r="C766" s="89"/>
      <c r="D766" s="120"/>
      <c r="E766" s="9"/>
      <c r="F766" s="8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100"/>
      <c r="B767" s="119"/>
      <c r="C767" s="89"/>
      <c r="D767" s="120"/>
      <c r="E767" s="9"/>
      <c r="F767" s="88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100"/>
      <c r="B768" s="119"/>
      <c r="C768" s="89"/>
      <c r="D768" s="120"/>
      <c r="E768" s="9"/>
      <c r="F768" s="8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100"/>
      <c r="B769" s="119"/>
      <c r="C769" s="89"/>
      <c r="D769" s="120"/>
      <c r="E769" s="9"/>
      <c r="F769" s="88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100"/>
      <c r="B770" s="119"/>
      <c r="C770" s="89"/>
      <c r="D770" s="120"/>
      <c r="E770" s="9"/>
      <c r="F770" s="8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100"/>
      <c r="B771" s="119"/>
      <c r="C771" s="89"/>
      <c r="D771" s="120"/>
      <c r="E771" s="9"/>
      <c r="F771" s="88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100"/>
      <c r="B772" s="119"/>
      <c r="C772" s="89"/>
      <c r="D772" s="120"/>
      <c r="E772" s="9"/>
      <c r="F772" s="8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100"/>
      <c r="B773" s="119"/>
      <c r="C773" s="89"/>
      <c r="D773" s="120"/>
      <c r="E773" s="9"/>
      <c r="F773" s="8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100"/>
      <c r="B774" s="119"/>
      <c r="C774" s="89"/>
      <c r="D774" s="120"/>
      <c r="E774" s="9"/>
      <c r="F774" s="8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100"/>
      <c r="B775" s="119"/>
      <c r="C775" s="89"/>
      <c r="D775" s="120"/>
      <c r="E775" s="9"/>
      <c r="F775" s="8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100"/>
      <c r="B776" s="119"/>
      <c r="C776" s="89"/>
      <c r="D776" s="120"/>
      <c r="E776" s="9"/>
      <c r="F776" s="88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100"/>
      <c r="B777" s="119"/>
      <c r="C777" s="89"/>
      <c r="D777" s="120"/>
      <c r="E777" s="9"/>
      <c r="F777" s="88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100"/>
      <c r="B778" s="119"/>
      <c r="C778" s="89"/>
      <c r="D778" s="120"/>
      <c r="E778" s="9"/>
      <c r="F778" s="88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100"/>
      <c r="B779" s="119"/>
      <c r="C779" s="89"/>
      <c r="D779" s="120"/>
      <c r="E779" s="9"/>
      <c r="F779" s="88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100"/>
      <c r="B780" s="119"/>
      <c r="C780" s="89"/>
      <c r="D780" s="120"/>
      <c r="E780" s="9"/>
      <c r="F780" s="88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100"/>
      <c r="B781" s="119"/>
      <c r="C781" s="89"/>
      <c r="D781" s="120"/>
      <c r="E781" s="9"/>
      <c r="F781" s="88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100"/>
      <c r="B782" s="119"/>
      <c r="C782" s="89"/>
      <c r="D782" s="120"/>
      <c r="E782" s="9"/>
      <c r="F782" s="88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100"/>
      <c r="B783" s="119"/>
      <c r="C783" s="89"/>
      <c r="D783" s="120"/>
      <c r="E783" s="9"/>
      <c r="F783" s="88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100"/>
      <c r="B784" s="119"/>
      <c r="C784" s="89"/>
      <c r="D784" s="120"/>
      <c r="E784" s="9"/>
      <c r="F784" s="88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100"/>
      <c r="B785" s="119"/>
      <c r="C785" s="89"/>
      <c r="D785" s="120"/>
      <c r="E785" s="9"/>
      <c r="F785" s="88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100"/>
      <c r="B786" s="119"/>
      <c r="C786" s="89"/>
      <c r="D786" s="120"/>
      <c r="E786" s="9"/>
      <c r="F786" s="88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100"/>
      <c r="B787" s="119"/>
      <c r="C787" s="89"/>
      <c r="D787" s="120"/>
      <c r="E787" s="9"/>
      <c r="F787" s="88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100"/>
      <c r="B788" s="119"/>
      <c r="C788" s="89"/>
      <c r="D788" s="120"/>
      <c r="E788" s="9"/>
      <c r="F788" s="88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100"/>
      <c r="B789" s="119"/>
      <c r="C789" s="89"/>
      <c r="D789" s="120"/>
      <c r="E789" s="9"/>
      <c r="F789" s="88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100"/>
      <c r="B790" s="119"/>
      <c r="C790" s="89"/>
      <c r="D790" s="120"/>
      <c r="E790" s="9"/>
      <c r="F790" s="88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100"/>
      <c r="B791" s="119"/>
      <c r="C791" s="89"/>
      <c r="D791" s="120"/>
      <c r="E791" s="9"/>
      <c r="F791" s="88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100"/>
      <c r="B792" s="119"/>
      <c r="C792" s="89"/>
      <c r="D792" s="120"/>
      <c r="E792" s="9"/>
      <c r="F792" s="88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100"/>
      <c r="B793" s="119"/>
      <c r="C793" s="89"/>
      <c r="D793" s="120"/>
      <c r="E793" s="9"/>
      <c r="F793" s="88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100"/>
      <c r="B794" s="119"/>
      <c r="C794" s="89"/>
      <c r="D794" s="120"/>
      <c r="E794" s="9"/>
      <c r="F794" s="88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100"/>
      <c r="B795" s="119"/>
      <c r="C795" s="89"/>
      <c r="D795" s="120"/>
      <c r="E795" s="9"/>
      <c r="F795" s="88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100"/>
      <c r="B796" s="119"/>
      <c r="C796" s="89"/>
      <c r="D796" s="120"/>
      <c r="E796" s="9"/>
      <c r="F796" s="88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100"/>
      <c r="B797" s="119"/>
      <c r="C797" s="89"/>
      <c r="D797" s="120"/>
      <c r="E797" s="9"/>
      <c r="F797" s="88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100"/>
      <c r="B798" s="119"/>
      <c r="C798" s="89"/>
      <c r="D798" s="120"/>
      <c r="E798" s="9"/>
      <c r="F798" s="88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100"/>
      <c r="B799" s="119"/>
      <c r="C799" s="89"/>
      <c r="D799" s="120"/>
      <c r="E799" s="9"/>
      <c r="F799" s="88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100"/>
      <c r="B800" s="119"/>
      <c r="C800" s="89"/>
      <c r="D800" s="120"/>
      <c r="E800" s="9"/>
      <c r="F800" s="88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100"/>
      <c r="B801" s="119"/>
      <c r="C801" s="89"/>
      <c r="D801" s="120"/>
      <c r="E801" s="9"/>
      <c r="F801" s="88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100"/>
      <c r="B802" s="119"/>
      <c r="C802" s="89"/>
      <c r="D802" s="120"/>
      <c r="E802" s="9"/>
      <c r="F802" s="88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100"/>
      <c r="B803" s="119"/>
      <c r="C803" s="89"/>
      <c r="D803" s="120"/>
      <c r="E803" s="9"/>
      <c r="F803" s="88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100"/>
      <c r="B804" s="119"/>
      <c r="C804" s="89"/>
      <c r="D804" s="120"/>
      <c r="E804" s="9"/>
      <c r="F804" s="88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100"/>
      <c r="B805" s="119"/>
      <c r="C805" s="89"/>
      <c r="D805" s="120"/>
      <c r="E805" s="9"/>
      <c r="F805" s="88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100"/>
      <c r="B806" s="119"/>
      <c r="C806" s="89"/>
      <c r="D806" s="120"/>
      <c r="E806" s="9"/>
      <c r="F806" s="88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100"/>
      <c r="B807" s="119"/>
      <c r="C807" s="89"/>
      <c r="D807" s="120"/>
      <c r="E807" s="9"/>
      <c r="F807" s="88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100"/>
      <c r="B808" s="119"/>
      <c r="C808" s="89"/>
      <c r="D808" s="120"/>
      <c r="E808" s="9"/>
      <c r="F808" s="88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100"/>
      <c r="B809" s="119"/>
      <c r="C809" s="89"/>
      <c r="D809" s="120"/>
      <c r="E809" s="9"/>
      <c r="F809" s="88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100"/>
      <c r="B810" s="119"/>
      <c r="C810" s="89"/>
      <c r="D810" s="120"/>
      <c r="E810" s="9"/>
      <c r="F810" s="88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100"/>
      <c r="B811" s="119"/>
      <c r="C811" s="89"/>
      <c r="D811" s="120"/>
      <c r="E811" s="9"/>
      <c r="F811" s="88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100"/>
      <c r="B812" s="119"/>
      <c r="C812" s="89"/>
      <c r="D812" s="120"/>
      <c r="E812" s="9"/>
      <c r="F812" s="8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100"/>
      <c r="B813" s="119"/>
      <c r="C813" s="89"/>
      <c r="D813" s="120"/>
      <c r="E813" s="9"/>
      <c r="F813" s="88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100"/>
      <c r="B814" s="119"/>
      <c r="C814" s="89"/>
      <c r="D814" s="120"/>
      <c r="E814" s="9"/>
      <c r="F814" s="8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100"/>
      <c r="B815" s="119"/>
      <c r="C815" s="89"/>
      <c r="D815" s="120"/>
      <c r="E815" s="9"/>
      <c r="F815" s="88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100"/>
      <c r="B816" s="119"/>
      <c r="C816" s="89"/>
      <c r="D816" s="120"/>
      <c r="E816" s="9"/>
      <c r="F816" s="8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100"/>
      <c r="B817" s="119"/>
      <c r="C817" s="89"/>
      <c r="D817" s="120"/>
      <c r="E817" s="9"/>
      <c r="F817" s="88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100"/>
      <c r="B818" s="119"/>
      <c r="C818" s="89"/>
      <c r="D818" s="120"/>
      <c r="E818" s="9"/>
      <c r="F818" s="8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100"/>
      <c r="B819" s="119"/>
      <c r="C819" s="89"/>
      <c r="D819" s="120"/>
      <c r="E819" s="9"/>
      <c r="F819" s="8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100"/>
      <c r="B820" s="119"/>
      <c r="C820" s="89"/>
      <c r="D820" s="120"/>
      <c r="E820" s="9"/>
      <c r="F820" s="8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100"/>
      <c r="B821" s="119"/>
      <c r="C821" s="89"/>
      <c r="D821" s="120"/>
      <c r="E821" s="9"/>
      <c r="F821" s="8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100"/>
      <c r="B822" s="119"/>
      <c r="C822" s="89"/>
      <c r="D822" s="120"/>
      <c r="E822" s="9"/>
      <c r="F822" s="8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100"/>
      <c r="B823" s="119"/>
      <c r="C823" s="89"/>
      <c r="D823" s="120"/>
      <c r="E823" s="9"/>
      <c r="F823" s="88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100"/>
      <c r="B824" s="119"/>
      <c r="C824" s="89"/>
      <c r="D824" s="120"/>
      <c r="E824" s="9"/>
      <c r="F824" s="8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100"/>
      <c r="B825" s="119"/>
      <c r="C825" s="89"/>
      <c r="D825" s="120"/>
      <c r="E825" s="9"/>
      <c r="F825" s="88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100"/>
      <c r="B826" s="119"/>
      <c r="C826" s="89"/>
      <c r="D826" s="120"/>
      <c r="E826" s="9"/>
      <c r="F826" s="8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100"/>
      <c r="B827" s="119"/>
      <c r="C827" s="89"/>
      <c r="D827" s="120"/>
      <c r="E827" s="9"/>
      <c r="F827" s="88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100"/>
      <c r="B828" s="119"/>
      <c r="C828" s="89"/>
      <c r="D828" s="120"/>
      <c r="E828" s="9"/>
      <c r="F828" s="8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100"/>
      <c r="B829" s="119"/>
      <c r="C829" s="89"/>
      <c r="D829" s="120"/>
      <c r="E829" s="9"/>
      <c r="F829" s="8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100"/>
      <c r="B830" s="119"/>
      <c r="C830" s="89"/>
      <c r="D830" s="120"/>
      <c r="E830" s="9"/>
      <c r="F830" s="8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100"/>
      <c r="B831" s="119"/>
      <c r="C831" s="89"/>
      <c r="D831" s="120"/>
      <c r="E831" s="9"/>
      <c r="F831" s="88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100"/>
      <c r="B832" s="119"/>
      <c r="C832" s="89"/>
      <c r="D832" s="120"/>
      <c r="E832" s="9"/>
      <c r="F832" s="8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100"/>
      <c r="B833" s="119"/>
      <c r="C833" s="89"/>
      <c r="D833" s="120"/>
      <c r="E833" s="9"/>
      <c r="F833" s="88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100"/>
      <c r="B834" s="119"/>
      <c r="C834" s="89"/>
      <c r="D834" s="120"/>
      <c r="E834" s="9"/>
      <c r="F834" s="8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100"/>
      <c r="B835" s="119"/>
      <c r="C835" s="89"/>
      <c r="D835" s="120"/>
      <c r="E835" s="9"/>
      <c r="F835" s="88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100"/>
      <c r="B836" s="119"/>
      <c r="C836" s="89"/>
      <c r="D836" s="120"/>
      <c r="E836" s="9"/>
      <c r="F836" s="8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100"/>
      <c r="B837" s="119"/>
      <c r="C837" s="89"/>
      <c r="D837" s="120"/>
      <c r="E837" s="9"/>
      <c r="F837" s="88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100"/>
      <c r="B838" s="119"/>
      <c r="C838" s="89"/>
      <c r="D838" s="120"/>
      <c r="E838" s="9"/>
      <c r="F838" s="8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100"/>
      <c r="B839" s="119"/>
      <c r="C839" s="89"/>
      <c r="D839" s="120"/>
      <c r="E839" s="9"/>
      <c r="F839" s="88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100"/>
      <c r="B840" s="119"/>
      <c r="C840" s="89"/>
      <c r="D840" s="120"/>
      <c r="E840" s="9"/>
      <c r="F840" s="8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100"/>
      <c r="B841" s="119"/>
      <c r="C841" s="89"/>
      <c r="D841" s="120"/>
      <c r="E841" s="9"/>
      <c r="F841" s="88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100"/>
      <c r="B842" s="119"/>
      <c r="C842" s="89"/>
      <c r="D842" s="120"/>
      <c r="E842" s="9"/>
      <c r="F842" s="8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100"/>
      <c r="B843" s="119"/>
      <c r="C843" s="89"/>
      <c r="D843" s="120"/>
      <c r="E843" s="9"/>
      <c r="F843" s="88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100"/>
      <c r="B844" s="119"/>
      <c r="C844" s="89"/>
      <c r="D844" s="120"/>
      <c r="E844" s="9"/>
      <c r="F844" s="8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100"/>
      <c r="B845" s="119"/>
      <c r="C845" s="89"/>
      <c r="D845" s="120"/>
      <c r="E845" s="9"/>
      <c r="F845" s="88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100"/>
      <c r="B846" s="119"/>
      <c r="C846" s="89"/>
      <c r="D846" s="120"/>
      <c r="E846" s="9"/>
      <c r="F846" s="8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100"/>
      <c r="B847" s="119"/>
      <c r="C847" s="89"/>
      <c r="D847" s="120"/>
      <c r="E847" s="9"/>
      <c r="F847" s="88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100"/>
      <c r="B848" s="119"/>
      <c r="C848" s="89"/>
      <c r="D848" s="120"/>
      <c r="E848" s="9"/>
      <c r="F848" s="8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100"/>
      <c r="B849" s="119"/>
      <c r="C849" s="89"/>
      <c r="D849" s="120"/>
      <c r="E849" s="9"/>
      <c r="F849" s="88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100"/>
      <c r="B850" s="119"/>
      <c r="C850" s="89"/>
      <c r="D850" s="120"/>
      <c r="E850" s="9"/>
      <c r="F850" s="8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100"/>
      <c r="B851" s="119"/>
      <c r="C851" s="89"/>
      <c r="D851" s="120"/>
      <c r="E851" s="9"/>
      <c r="F851" s="8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100"/>
      <c r="B852" s="119"/>
      <c r="C852" s="89"/>
      <c r="D852" s="120"/>
      <c r="E852" s="9"/>
      <c r="F852" s="8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100"/>
      <c r="B853" s="119"/>
      <c r="C853" s="89"/>
      <c r="D853" s="120"/>
      <c r="E853" s="9"/>
      <c r="F853" s="88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100"/>
      <c r="B854" s="119"/>
      <c r="C854" s="89"/>
      <c r="D854" s="120"/>
      <c r="E854" s="9"/>
      <c r="F854" s="8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100"/>
      <c r="B855" s="119"/>
      <c r="C855" s="89"/>
      <c r="D855" s="120"/>
      <c r="E855" s="9"/>
      <c r="F855" s="88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100"/>
      <c r="B856" s="119"/>
      <c r="C856" s="89"/>
      <c r="D856" s="120"/>
      <c r="E856" s="9"/>
      <c r="F856" s="8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100"/>
      <c r="B857" s="119"/>
      <c r="C857" s="89"/>
      <c r="D857" s="120"/>
      <c r="E857" s="9"/>
      <c r="F857" s="88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100"/>
      <c r="B858" s="119"/>
      <c r="C858" s="89"/>
      <c r="D858" s="120"/>
      <c r="E858" s="9"/>
      <c r="F858" s="8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100"/>
      <c r="B859" s="119"/>
      <c r="C859" s="89"/>
      <c r="D859" s="120"/>
      <c r="E859" s="9"/>
      <c r="F859" s="88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100"/>
      <c r="B860" s="119"/>
      <c r="C860" s="89"/>
      <c r="D860" s="120"/>
      <c r="E860" s="9"/>
      <c r="F860" s="8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100"/>
      <c r="B861" s="119"/>
      <c r="C861" s="89"/>
      <c r="D861" s="120"/>
      <c r="E861" s="9"/>
      <c r="F861" s="88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100"/>
      <c r="B862" s="119"/>
      <c r="C862" s="89"/>
      <c r="D862" s="120"/>
      <c r="E862" s="9"/>
      <c r="F862" s="8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100"/>
      <c r="B863" s="119"/>
      <c r="C863" s="89"/>
      <c r="D863" s="120"/>
      <c r="E863" s="9"/>
      <c r="F863" s="88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100"/>
      <c r="B864" s="119"/>
      <c r="C864" s="89"/>
      <c r="D864" s="120"/>
      <c r="E864" s="9"/>
      <c r="F864" s="8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100"/>
      <c r="B865" s="119"/>
      <c r="C865" s="89"/>
      <c r="D865" s="120"/>
      <c r="E865" s="9"/>
      <c r="F865" s="88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100"/>
      <c r="B866" s="119"/>
      <c r="C866" s="89"/>
      <c r="D866" s="120"/>
      <c r="E866" s="9"/>
      <c r="F866" s="8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100"/>
      <c r="B867" s="119"/>
      <c r="C867" s="89"/>
      <c r="D867" s="120"/>
      <c r="E867" s="9"/>
      <c r="F867" s="88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100"/>
      <c r="B868" s="119"/>
      <c r="C868" s="89"/>
      <c r="D868" s="120"/>
      <c r="E868" s="9"/>
      <c r="F868" s="8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100"/>
      <c r="B869" s="119"/>
      <c r="C869" s="89"/>
      <c r="D869" s="120"/>
      <c r="E869" s="9"/>
      <c r="F869" s="88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100"/>
      <c r="B870" s="119"/>
      <c r="C870" s="89"/>
      <c r="D870" s="120"/>
      <c r="E870" s="9"/>
      <c r="F870" s="8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100"/>
      <c r="B871" s="119"/>
      <c r="C871" s="89"/>
      <c r="D871" s="120"/>
      <c r="E871" s="9"/>
      <c r="F871" s="88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100"/>
      <c r="B872" s="119"/>
      <c r="C872" s="89"/>
      <c r="D872" s="120"/>
      <c r="E872" s="9"/>
      <c r="F872" s="8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100"/>
      <c r="B873" s="119"/>
      <c r="C873" s="89"/>
      <c r="D873" s="120"/>
      <c r="E873" s="9"/>
      <c r="F873" s="88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100"/>
      <c r="B874" s="119"/>
      <c r="C874" s="89"/>
      <c r="D874" s="120"/>
      <c r="E874" s="9"/>
      <c r="F874" s="8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100"/>
      <c r="B875" s="119"/>
      <c r="C875" s="89"/>
      <c r="D875" s="120"/>
      <c r="E875" s="9"/>
      <c r="F875" s="88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100"/>
      <c r="B876" s="119"/>
      <c r="C876" s="89"/>
      <c r="D876" s="120"/>
      <c r="E876" s="9"/>
      <c r="F876" s="8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100"/>
      <c r="B877" s="119"/>
      <c r="C877" s="89"/>
      <c r="D877" s="120"/>
      <c r="E877" s="9"/>
      <c r="F877" s="88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100"/>
      <c r="B878" s="119"/>
      <c r="C878" s="89"/>
      <c r="D878" s="120"/>
      <c r="E878" s="9"/>
      <c r="F878" s="8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100"/>
      <c r="B879" s="119"/>
      <c r="C879" s="89"/>
      <c r="D879" s="120"/>
      <c r="E879" s="9"/>
      <c r="F879" s="88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100"/>
      <c r="B880" s="119"/>
      <c r="C880" s="89"/>
      <c r="D880" s="120"/>
      <c r="E880" s="9"/>
      <c r="F880" s="8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100"/>
      <c r="B881" s="119"/>
      <c r="C881" s="89"/>
      <c r="D881" s="120"/>
      <c r="E881" s="9"/>
      <c r="F881" s="88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100"/>
      <c r="B882" s="119"/>
      <c r="C882" s="89"/>
      <c r="D882" s="120"/>
      <c r="E882" s="9"/>
      <c r="F882" s="8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100"/>
      <c r="B883" s="119"/>
      <c r="C883" s="89"/>
      <c r="D883" s="120"/>
      <c r="E883" s="9"/>
      <c r="F883" s="88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100"/>
      <c r="B884" s="119"/>
      <c r="C884" s="89"/>
      <c r="D884" s="120"/>
      <c r="E884" s="9"/>
      <c r="F884" s="8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100"/>
      <c r="B885" s="119"/>
      <c r="C885" s="89"/>
      <c r="D885" s="120"/>
      <c r="E885" s="9"/>
      <c r="F885" s="88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100"/>
      <c r="B886" s="119"/>
      <c r="C886" s="89"/>
      <c r="D886" s="120"/>
      <c r="E886" s="9"/>
      <c r="F886" s="8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100"/>
      <c r="B887" s="119"/>
      <c r="C887" s="89"/>
      <c r="D887" s="120"/>
      <c r="E887" s="9"/>
      <c r="F887" s="88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100"/>
      <c r="B888" s="119"/>
      <c r="C888" s="89"/>
      <c r="D888" s="120"/>
      <c r="E888" s="9"/>
      <c r="F888" s="8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100"/>
      <c r="B889" s="119"/>
      <c r="C889" s="89"/>
      <c r="D889" s="120"/>
      <c r="E889" s="9"/>
      <c r="F889" s="88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100"/>
      <c r="B890" s="119"/>
      <c r="C890" s="89"/>
      <c r="D890" s="120"/>
      <c r="E890" s="9"/>
      <c r="F890" s="8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100"/>
      <c r="B891" s="119"/>
      <c r="C891" s="89"/>
      <c r="D891" s="120"/>
      <c r="E891" s="9"/>
      <c r="F891" s="88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100"/>
      <c r="B892" s="119"/>
      <c r="C892" s="89"/>
      <c r="D892" s="120"/>
      <c r="E892" s="9"/>
      <c r="F892" s="8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100"/>
      <c r="B893" s="119"/>
      <c r="C893" s="89"/>
      <c r="D893" s="120"/>
      <c r="E893" s="9"/>
      <c r="F893" s="88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100"/>
      <c r="B894" s="119"/>
      <c r="C894" s="89"/>
      <c r="D894" s="120"/>
      <c r="E894" s="9"/>
      <c r="F894" s="8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100"/>
      <c r="B895" s="119"/>
      <c r="C895" s="89"/>
      <c r="D895" s="120"/>
      <c r="E895" s="9"/>
      <c r="F895" s="88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100"/>
      <c r="B896" s="119"/>
      <c r="C896" s="89"/>
      <c r="D896" s="120"/>
      <c r="E896" s="9"/>
      <c r="F896" s="8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100"/>
      <c r="B897" s="119"/>
      <c r="C897" s="89"/>
      <c r="D897" s="120"/>
      <c r="E897" s="9"/>
      <c r="F897" s="88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100"/>
      <c r="B898" s="119"/>
      <c r="C898" s="89"/>
      <c r="D898" s="120"/>
      <c r="E898" s="9"/>
      <c r="F898" s="8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100"/>
      <c r="B899" s="119"/>
      <c r="C899" s="89"/>
      <c r="D899" s="120"/>
      <c r="E899" s="9"/>
      <c r="F899" s="8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100"/>
      <c r="B900" s="119"/>
      <c r="C900" s="89"/>
      <c r="D900" s="120"/>
      <c r="E900" s="9"/>
      <c r="F900" s="8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100"/>
      <c r="B901" s="119"/>
      <c r="C901" s="89"/>
      <c r="D901" s="120"/>
      <c r="E901" s="9"/>
      <c r="F901" s="88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100"/>
      <c r="B902" s="119"/>
      <c r="C902" s="89"/>
      <c r="D902" s="120"/>
      <c r="E902" s="9"/>
      <c r="F902" s="8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100"/>
      <c r="B903" s="119"/>
      <c r="C903" s="89"/>
      <c r="D903" s="120"/>
      <c r="E903" s="9"/>
      <c r="F903" s="88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100"/>
      <c r="B904" s="119"/>
      <c r="C904" s="89"/>
      <c r="D904" s="120"/>
      <c r="E904" s="9"/>
      <c r="F904" s="8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100"/>
      <c r="B905" s="119"/>
      <c r="C905" s="89"/>
      <c r="D905" s="120"/>
      <c r="E905" s="9"/>
      <c r="F905" s="88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100"/>
      <c r="B906" s="119"/>
      <c r="C906" s="89"/>
      <c r="D906" s="120"/>
      <c r="E906" s="9"/>
      <c r="F906" s="8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100"/>
      <c r="B907" s="119"/>
      <c r="C907" s="89"/>
      <c r="D907" s="120"/>
      <c r="E907" s="9"/>
      <c r="F907" s="88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100"/>
      <c r="B908" s="119"/>
      <c r="C908" s="89"/>
      <c r="D908" s="120"/>
      <c r="E908" s="9"/>
      <c r="F908" s="8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100"/>
      <c r="B909" s="119"/>
      <c r="C909" s="89"/>
      <c r="D909" s="120"/>
      <c r="E909" s="9"/>
      <c r="F909" s="8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100"/>
      <c r="B910" s="119"/>
      <c r="C910" s="89"/>
      <c r="D910" s="120"/>
      <c r="E910" s="9"/>
      <c r="F910" s="8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100"/>
      <c r="B911" s="119"/>
      <c r="C911" s="89"/>
      <c r="D911" s="120"/>
      <c r="E911" s="9"/>
      <c r="F911" s="8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100"/>
      <c r="B912" s="119"/>
      <c r="C912" s="89"/>
      <c r="D912" s="120"/>
      <c r="E912" s="9"/>
      <c r="F912" s="8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100"/>
      <c r="B913" s="119"/>
      <c r="C913" s="89"/>
      <c r="D913" s="120"/>
      <c r="E913" s="9"/>
      <c r="F913" s="88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100"/>
      <c r="B914" s="119"/>
      <c r="C914" s="89"/>
      <c r="D914" s="120"/>
      <c r="E914" s="9"/>
      <c r="F914" s="8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100"/>
      <c r="B915" s="119"/>
      <c r="C915" s="89"/>
      <c r="D915" s="120"/>
      <c r="E915" s="9"/>
      <c r="F915" s="88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100"/>
      <c r="B916" s="119"/>
      <c r="C916" s="89"/>
      <c r="D916" s="120"/>
      <c r="E916" s="9"/>
      <c r="F916" s="8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100"/>
      <c r="B917" s="119"/>
      <c r="C917" s="89"/>
      <c r="D917" s="120"/>
      <c r="E917" s="9"/>
      <c r="F917" s="88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100"/>
      <c r="B918" s="119"/>
      <c r="C918" s="89"/>
      <c r="D918" s="120"/>
      <c r="E918" s="9"/>
      <c r="F918" s="8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100"/>
      <c r="B919" s="119"/>
      <c r="C919" s="89"/>
      <c r="D919" s="120"/>
      <c r="E919" s="9"/>
      <c r="F919" s="88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100"/>
      <c r="B920" s="119"/>
      <c r="C920" s="89"/>
      <c r="D920" s="120"/>
      <c r="E920" s="9"/>
      <c r="F920" s="8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100"/>
      <c r="B921" s="119"/>
      <c r="C921" s="89"/>
      <c r="D921" s="120"/>
      <c r="E921" s="9"/>
      <c r="F921" s="88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100"/>
      <c r="B922" s="119"/>
      <c r="C922" s="89"/>
      <c r="D922" s="120"/>
      <c r="E922" s="9"/>
      <c r="F922" s="8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100"/>
      <c r="B923" s="119"/>
      <c r="C923" s="89"/>
      <c r="D923" s="120"/>
      <c r="E923" s="9"/>
      <c r="F923" s="88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100"/>
      <c r="B924" s="119"/>
      <c r="C924" s="89"/>
      <c r="D924" s="120"/>
      <c r="E924" s="9"/>
      <c r="F924" s="8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100"/>
      <c r="B925" s="119"/>
      <c r="C925" s="89"/>
      <c r="D925" s="120"/>
      <c r="E925" s="9"/>
      <c r="F925" s="88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100"/>
      <c r="B926" s="119"/>
      <c r="C926" s="89"/>
      <c r="D926" s="120"/>
      <c r="E926" s="9"/>
      <c r="F926" s="8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100"/>
      <c r="B927" s="119"/>
      <c r="C927" s="89"/>
      <c r="D927" s="120"/>
      <c r="E927" s="9"/>
      <c r="F927" s="88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100"/>
      <c r="B928" s="119"/>
      <c r="C928" s="89"/>
      <c r="D928" s="120"/>
      <c r="E928" s="9"/>
      <c r="F928" s="8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100"/>
      <c r="B929" s="119"/>
      <c r="C929" s="89"/>
      <c r="D929" s="120"/>
      <c r="E929" s="9"/>
      <c r="F929" s="88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100"/>
      <c r="B930" s="119"/>
      <c r="C930" s="89"/>
      <c r="D930" s="120"/>
      <c r="E930" s="9"/>
      <c r="F930" s="8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100"/>
      <c r="B931" s="119"/>
      <c r="C931" s="89"/>
      <c r="D931" s="120"/>
      <c r="E931" s="9"/>
      <c r="F931" s="88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100"/>
      <c r="B932" s="119"/>
      <c r="C932" s="89"/>
      <c r="D932" s="120"/>
      <c r="E932" s="9"/>
      <c r="F932" s="8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100"/>
      <c r="B933" s="119"/>
      <c r="C933" s="89"/>
      <c r="D933" s="120"/>
      <c r="E933" s="9"/>
      <c r="F933" s="88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100"/>
      <c r="B934" s="119"/>
      <c r="C934" s="89"/>
      <c r="D934" s="120"/>
      <c r="E934" s="9"/>
      <c r="F934" s="8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100"/>
      <c r="B935" s="119"/>
      <c r="C935" s="89"/>
      <c r="D935" s="120"/>
      <c r="E935" s="9"/>
      <c r="F935" s="88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100"/>
      <c r="B936" s="119"/>
      <c r="C936" s="89"/>
      <c r="D936" s="120"/>
      <c r="E936" s="9"/>
      <c r="F936" s="8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100"/>
      <c r="B937" s="119"/>
      <c r="C937" s="89"/>
      <c r="D937" s="120"/>
      <c r="E937" s="9"/>
      <c r="F937" s="88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100"/>
      <c r="B938" s="119"/>
      <c r="C938" s="89"/>
      <c r="D938" s="120"/>
      <c r="E938" s="9"/>
      <c r="F938" s="8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100"/>
      <c r="B939" s="119"/>
      <c r="C939" s="89"/>
      <c r="D939" s="120"/>
      <c r="E939" s="9"/>
      <c r="F939" s="88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100"/>
      <c r="B940" s="119"/>
      <c r="C940" s="89"/>
      <c r="D940" s="120"/>
      <c r="E940" s="9"/>
      <c r="F940" s="8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100"/>
      <c r="B941" s="119"/>
      <c r="C941" s="89"/>
      <c r="D941" s="120"/>
      <c r="E941" s="9"/>
      <c r="F941" s="88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100"/>
      <c r="B942" s="119"/>
      <c r="C942" s="89"/>
      <c r="D942" s="120"/>
      <c r="E942" s="9"/>
      <c r="F942" s="8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100"/>
      <c r="B943" s="119"/>
      <c r="C943" s="89"/>
      <c r="D943" s="120"/>
      <c r="E943" s="9"/>
      <c r="F943" s="88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100"/>
      <c r="B944" s="119"/>
      <c r="C944" s="89"/>
      <c r="D944" s="120"/>
      <c r="E944" s="9"/>
      <c r="F944" s="8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100"/>
      <c r="B945" s="119"/>
      <c r="C945" s="89"/>
      <c r="D945" s="120"/>
      <c r="E945" s="9"/>
      <c r="F945" s="88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100"/>
      <c r="B946" s="119"/>
      <c r="C946" s="89"/>
      <c r="D946" s="120"/>
      <c r="E946" s="9"/>
      <c r="F946" s="8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100"/>
      <c r="B947" s="119"/>
      <c r="C947" s="89"/>
      <c r="D947" s="120"/>
      <c r="E947" s="9"/>
      <c r="F947" s="88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100"/>
      <c r="B948" s="119"/>
      <c r="C948" s="89"/>
      <c r="D948" s="120"/>
      <c r="E948" s="9"/>
      <c r="F948" s="8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100"/>
      <c r="B949" s="119"/>
      <c r="C949" s="89"/>
      <c r="D949" s="120"/>
      <c r="E949" s="9"/>
      <c r="F949" s="88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100"/>
      <c r="B950" s="119"/>
      <c r="C950" s="89"/>
      <c r="D950" s="120"/>
      <c r="E950" s="9"/>
      <c r="F950" s="8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100"/>
      <c r="B951" s="119"/>
      <c r="C951" s="89"/>
      <c r="D951" s="120"/>
      <c r="E951" s="9"/>
      <c r="F951" s="88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100"/>
      <c r="B952" s="119"/>
      <c r="C952" s="89"/>
      <c r="D952" s="120"/>
      <c r="E952" s="9"/>
      <c r="F952" s="8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100"/>
      <c r="B953" s="119"/>
      <c r="C953" s="89"/>
      <c r="D953" s="120"/>
      <c r="E953" s="9"/>
      <c r="F953" s="88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100"/>
      <c r="B954" s="119"/>
      <c r="C954" s="89"/>
      <c r="D954" s="120"/>
      <c r="E954" s="9"/>
      <c r="F954" s="8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100"/>
      <c r="B955" s="119"/>
      <c r="C955" s="89"/>
      <c r="D955" s="120"/>
      <c r="E955" s="9"/>
      <c r="F955" s="88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100"/>
      <c r="B956" s="119"/>
      <c r="C956" s="89"/>
      <c r="D956" s="120"/>
      <c r="E956" s="9"/>
      <c r="F956" s="8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100"/>
      <c r="B957" s="119"/>
      <c r="C957" s="89"/>
      <c r="D957" s="120"/>
      <c r="E957" s="9"/>
      <c r="F957" s="88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100"/>
      <c r="B958" s="119"/>
      <c r="C958" s="89"/>
      <c r="D958" s="120"/>
      <c r="E958" s="9"/>
      <c r="F958" s="8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100"/>
      <c r="B959" s="119"/>
      <c r="C959" s="89"/>
      <c r="D959" s="120"/>
      <c r="E959" s="9"/>
      <c r="F959" s="88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100"/>
      <c r="B960" s="119"/>
      <c r="C960" s="89"/>
      <c r="D960" s="120"/>
      <c r="E960" s="9"/>
      <c r="F960" s="8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100"/>
      <c r="B961" s="119"/>
      <c r="C961" s="89"/>
      <c r="D961" s="120"/>
      <c r="E961" s="9"/>
      <c r="F961" s="88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100"/>
      <c r="B962" s="119"/>
      <c r="C962" s="89"/>
      <c r="D962" s="120"/>
      <c r="E962" s="9"/>
      <c r="F962" s="8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100"/>
      <c r="B963" s="119"/>
      <c r="C963" s="89"/>
      <c r="D963" s="120"/>
      <c r="E963" s="9"/>
      <c r="F963" s="88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100"/>
      <c r="B964" s="119"/>
      <c r="C964" s="89"/>
      <c r="D964" s="120"/>
      <c r="E964" s="9"/>
      <c r="F964" s="8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100"/>
      <c r="B965" s="119"/>
      <c r="C965" s="89"/>
      <c r="D965" s="120"/>
      <c r="E965" s="9"/>
      <c r="F965" s="88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100"/>
      <c r="B966" s="119"/>
      <c r="C966" s="89"/>
      <c r="D966" s="120"/>
      <c r="E966" s="9"/>
      <c r="F966" s="8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100"/>
      <c r="B967" s="119"/>
      <c r="C967" s="89"/>
      <c r="D967" s="120"/>
      <c r="E967" s="9"/>
      <c r="F967" s="88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100"/>
      <c r="B968" s="119"/>
      <c r="C968" s="89"/>
      <c r="D968" s="120"/>
      <c r="E968" s="9"/>
      <c r="F968" s="8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100"/>
      <c r="B969" s="119"/>
      <c r="C969" s="89"/>
      <c r="D969" s="120"/>
      <c r="E969" s="9"/>
      <c r="F969" s="88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100"/>
      <c r="B970" s="119"/>
      <c r="C970" s="89"/>
      <c r="D970" s="120"/>
      <c r="E970" s="9"/>
      <c r="F970" s="8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100"/>
      <c r="B971" s="119"/>
      <c r="C971" s="89"/>
      <c r="D971" s="120"/>
      <c r="E971" s="9"/>
      <c r="F971" s="88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100"/>
      <c r="B972" s="119"/>
      <c r="C972" s="89"/>
      <c r="D972" s="120"/>
      <c r="E972" s="9"/>
      <c r="F972" s="8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100"/>
      <c r="B973" s="119"/>
      <c r="C973" s="89"/>
      <c r="D973" s="120"/>
      <c r="E973" s="9"/>
      <c r="F973" s="88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100"/>
      <c r="B974" s="119"/>
      <c r="C974" s="89"/>
      <c r="D974" s="120"/>
      <c r="E974" s="9"/>
      <c r="F974" s="8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100"/>
      <c r="B975" s="119"/>
      <c r="C975" s="89"/>
      <c r="D975" s="120"/>
      <c r="E975" s="9"/>
      <c r="F975" s="88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100"/>
      <c r="B976" s="119"/>
      <c r="C976" s="89"/>
      <c r="D976" s="120"/>
      <c r="E976" s="9"/>
      <c r="F976" s="8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100"/>
      <c r="B977" s="119"/>
      <c r="C977" s="89"/>
      <c r="D977" s="120"/>
      <c r="E977" s="9"/>
      <c r="F977" s="88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100"/>
      <c r="B978" s="119"/>
      <c r="C978" s="89"/>
      <c r="D978" s="120"/>
      <c r="E978" s="9"/>
      <c r="F978" s="8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100"/>
      <c r="B979" s="119"/>
      <c r="C979" s="89"/>
      <c r="D979" s="120"/>
      <c r="E979" s="9"/>
      <c r="F979" s="88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100"/>
      <c r="B980" s="119"/>
      <c r="C980" s="89"/>
      <c r="D980" s="120"/>
      <c r="E980" s="9"/>
      <c r="F980" s="8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100"/>
      <c r="B981" s="119"/>
      <c r="C981" s="89"/>
      <c r="D981" s="120"/>
      <c r="E981" s="9"/>
      <c r="F981" s="88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100"/>
      <c r="B982" s="119"/>
      <c r="C982" s="89"/>
      <c r="D982" s="120"/>
      <c r="E982" s="9"/>
      <c r="F982" s="8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100"/>
      <c r="B983" s="119"/>
      <c r="C983" s="89"/>
      <c r="D983" s="120"/>
      <c r="E983" s="9"/>
      <c r="F983" s="88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100"/>
      <c r="B984" s="119"/>
      <c r="C984" s="89"/>
      <c r="D984" s="120"/>
      <c r="E984" s="9"/>
      <c r="F984" s="8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100"/>
      <c r="B985" s="119"/>
      <c r="C985" s="89"/>
      <c r="D985" s="120"/>
      <c r="E985" s="9"/>
      <c r="F985" s="88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100"/>
      <c r="B986" s="119"/>
      <c r="C986" s="89"/>
      <c r="D986" s="120"/>
      <c r="E986" s="9"/>
      <c r="F986" s="8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100"/>
      <c r="B987" s="119"/>
      <c r="C987" s="89"/>
      <c r="D987" s="120"/>
      <c r="E987" s="9"/>
      <c r="F987" s="8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</sheetData>
  <mergeCells count="2">
    <mergeCell ref="A1:E1"/>
    <mergeCell ref="A2:E2"/>
  </mergeCells>
  <hyperlinks>
    <hyperlink r:id="rId1" ref="B4"/>
    <hyperlink r:id="rId2" ref="C4"/>
    <hyperlink r:id="rId3" ref="A5"/>
    <hyperlink r:id="rId4" ref="C5"/>
    <hyperlink r:id="rId5" ref="A6"/>
    <hyperlink r:id="rId6" ref="C6"/>
    <hyperlink r:id="rId7" ref="A7"/>
    <hyperlink r:id="rId8" ref="C7"/>
    <hyperlink r:id="rId9" ref="A8"/>
    <hyperlink r:id="rId10" ref="C8"/>
    <hyperlink r:id="rId11" ref="A9"/>
    <hyperlink r:id="rId12" ref="C9"/>
    <hyperlink r:id="rId13" ref="A10"/>
    <hyperlink r:id="rId14" ref="C10"/>
    <hyperlink r:id="rId15" ref="B11"/>
    <hyperlink r:id="rId16" ref="C11"/>
    <hyperlink r:id="rId17" ref="C12"/>
    <hyperlink r:id="rId18" ref="A13"/>
    <hyperlink r:id="rId19" ref="B13"/>
    <hyperlink r:id="rId20" ref="C13"/>
    <hyperlink r:id="rId21" ref="A14"/>
    <hyperlink r:id="rId22" ref="C15"/>
    <hyperlink r:id="rId23" ref="A16"/>
    <hyperlink r:id="rId24" ref="C16"/>
    <hyperlink r:id="rId25" ref="C17"/>
    <hyperlink r:id="rId26" ref="A18"/>
    <hyperlink r:id="rId27" ref="B18"/>
    <hyperlink r:id="rId28" ref="C18"/>
    <hyperlink r:id="rId29" ref="A19"/>
    <hyperlink r:id="rId30" ref="B19"/>
    <hyperlink r:id="rId31" ref="C19"/>
    <hyperlink r:id="rId32" ref="A20"/>
    <hyperlink r:id="rId33" ref="B20"/>
    <hyperlink r:id="rId34" ref="C20"/>
    <hyperlink r:id="rId35" ref="A21"/>
    <hyperlink r:id="rId36" ref="C21"/>
    <hyperlink r:id="rId37" ref="A22"/>
    <hyperlink r:id="rId38" ref="C22"/>
    <hyperlink r:id="rId39" ref="A23"/>
    <hyperlink r:id="rId40" ref="B23"/>
    <hyperlink r:id="rId41" ref="C23"/>
    <hyperlink r:id="rId42" ref="A24"/>
    <hyperlink r:id="rId43" ref="C24"/>
    <hyperlink r:id="rId44" ref="A25"/>
    <hyperlink r:id="rId45" ref="B25"/>
    <hyperlink r:id="rId46" ref="C25"/>
  </hyperlinks>
  <printOptions/>
  <pageMargins bottom="0.75" footer="0.0" header="0.0" left="0.7" right="0.7" top="0.75"/>
  <pageSetup paperSize="9" orientation="portrait"/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36.11"/>
    <col customWidth="1" min="2" max="2" width="85.67"/>
    <col customWidth="1" min="3" max="3" width="55.11"/>
    <col customWidth="1" min="4" max="4" width="17.11"/>
    <col customWidth="1" min="5" max="5" width="15.11"/>
  </cols>
  <sheetData>
    <row r="1">
      <c r="A1" s="1" t="s">
        <v>0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42.0" customHeight="1">
      <c r="A2" s="8" t="s">
        <v>2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6.25" customHeight="1">
      <c r="A3" s="11" t="s">
        <v>4</v>
      </c>
      <c r="B3" s="13" t="s">
        <v>5</v>
      </c>
      <c r="C3" s="13" t="s">
        <v>7</v>
      </c>
      <c r="D3" s="14" t="s">
        <v>8</v>
      </c>
      <c r="E3" s="14" t="s">
        <v>9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40.25" customHeight="1">
      <c r="A4" s="16" t="str">
        <f>HYPERLINK("http://www.fullon-hotels.com.tw/  ","福容大飯店
全台分館")</f>
        <v>福容大飯店
全台分館</v>
      </c>
      <c r="B4" s="19" t="s">
        <v>10</v>
      </c>
      <c r="C4" s="21" t="s">
        <v>12</v>
      </c>
      <c r="D4" s="22">
        <v>46387.0</v>
      </c>
      <c r="E4" s="23" t="s">
        <v>13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ht="156.0" customHeight="1">
      <c r="A5" s="16" t="s">
        <v>20</v>
      </c>
      <c r="B5" s="44" t="s">
        <v>26</v>
      </c>
      <c r="C5" s="36" t="s">
        <v>27</v>
      </c>
      <c r="D5" s="22">
        <v>46387.0</v>
      </c>
      <c r="E5" s="49"/>
      <c r="F5" s="5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ht="139.5" customHeight="1">
      <c r="A6" s="34" t="s">
        <v>33</v>
      </c>
      <c r="B6" s="60" t="s">
        <v>39</v>
      </c>
      <c r="C6" s="45" t="s">
        <v>43</v>
      </c>
      <c r="D6" s="22">
        <v>46387.0</v>
      </c>
      <c r="E6" s="64"/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ht="147.75" customHeight="1">
      <c r="A7" s="16" t="s">
        <v>47</v>
      </c>
      <c r="B7" s="65" t="s">
        <v>51</v>
      </c>
      <c r="C7" s="67" t="s">
        <v>52</v>
      </c>
      <c r="D7" s="22">
        <v>46387.0</v>
      </c>
      <c r="E7" s="23"/>
      <c r="F7" s="6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38.0" customHeight="1">
      <c r="A8" s="16" t="s">
        <v>56</v>
      </c>
      <c r="B8" s="70" t="s">
        <v>58</v>
      </c>
      <c r="C8" s="72" t="s">
        <v>59</v>
      </c>
      <c r="D8" s="22">
        <v>46387.0</v>
      </c>
      <c r="E8" s="4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31.25" customHeight="1">
      <c r="A9" s="16" t="s">
        <v>63</v>
      </c>
      <c r="B9" s="75" t="s">
        <v>67</v>
      </c>
      <c r="C9" s="78" t="s">
        <v>73</v>
      </c>
      <c r="D9" s="22">
        <v>46387.0</v>
      </c>
      <c r="E9" s="81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66.5" customHeight="1">
      <c r="A10" s="16" t="str">
        <f>HYPERLINK("http://www.hotelday.com.tw/hotel03.aspx","承億文旅")</f>
        <v>承億文旅</v>
      </c>
      <c r="B10" s="43" t="s">
        <v>24</v>
      </c>
      <c r="C10" s="47" t="s">
        <v>25</v>
      </c>
      <c r="D10" s="22">
        <v>46387.0</v>
      </c>
      <c r="E10" s="4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66.5" customHeight="1">
      <c r="A11" s="84" t="s">
        <v>79</v>
      </c>
      <c r="B11" s="91" t="s">
        <v>84</v>
      </c>
      <c r="C11" s="45" t="s">
        <v>86</v>
      </c>
      <c r="D11" s="22">
        <v>46387.0</v>
      </c>
      <c r="E11" s="8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62.75" customHeight="1">
      <c r="A12" s="16" t="s">
        <v>77</v>
      </c>
      <c r="B12" s="44" t="s">
        <v>91</v>
      </c>
      <c r="C12" s="36" t="s">
        <v>81</v>
      </c>
      <c r="D12" s="83" t="s">
        <v>83</v>
      </c>
      <c r="E12" s="96" t="s">
        <v>13</v>
      </c>
      <c r="F12" s="85" t="s">
        <v>69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40.25" customHeight="1">
      <c r="A13" s="16" t="s">
        <v>93</v>
      </c>
      <c r="B13" s="44" t="s">
        <v>96</v>
      </c>
      <c r="C13" s="36" t="s">
        <v>97</v>
      </c>
      <c r="D13" s="22">
        <v>46387.0</v>
      </c>
      <c r="E13" s="96" t="s">
        <v>13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00"/>
      <c r="B14" s="12"/>
      <c r="C14" s="12"/>
      <c r="D14" s="5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00"/>
      <c r="B15" s="12"/>
      <c r="C15" s="12"/>
      <c r="D15" s="5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00"/>
      <c r="B16" s="12"/>
      <c r="C16" s="12"/>
      <c r="D16" s="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00"/>
      <c r="B17" s="12"/>
      <c r="C17" s="12"/>
      <c r="D17" s="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00"/>
      <c r="B18" s="12"/>
      <c r="C18" s="12"/>
      <c r="D18" s="5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00"/>
      <c r="B19" s="12"/>
      <c r="C19" s="12"/>
      <c r="D19" s="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100"/>
      <c r="B20" s="12"/>
      <c r="C20" s="12"/>
      <c r="D20" s="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100"/>
      <c r="B21" s="12"/>
      <c r="C21" s="12"/>
      <c r="D21" s="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100"/>
      <c r="B22" s="12"/>
      <c r="C22" s="12"/>
      <c r="D22" s="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00"/>
      <c r="B23" s="12"/>
      <c r="C23" s="12"/>
      <c r="D23" s="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100"/>
      <c r="B24" s="12"/>
      <c r="C24" s="12"/>
      <c r="D24" s="5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100"/>
      <c r="B25" s="12"/>
      <c r="C25" s="12"/>
      <c r="D25" s="5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00"/>
      <c r="B26" s="12"/>
      <c r="C26" s="12"/>
      <c r="D26" s="5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00"/>
      <c r="B27" s="12"/>
      <c r="C27" s="12"/>
      <c r="D27" s="5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00"/>
      <c r="B28" s="12"/>
      <c r="C28" s="12"/>
      <c r="D28" s="5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00"/>
      <c r="B29" s="12"/>
      <c r="C29" s="12"/>
      <c r="D29" s="5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00"/>
      <c r="B30" s="12"/>
      <c r="C30" s="12"/>
      <c r="D30" s="5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100"/>
      <c r="B31" s="12"/>
      <c r="C31" s="12"/>
      <c r="D31" s="5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00"/>
      <c r="B32" s="12"/>
      <c r="C32" s="12"/>
      <c r="D32" s="5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100"/>
      <c r="B33" s="12"/>
      <c r="C33" s="12"/>
      <c r="D33" s="5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100"/>
      <c r="B34" s="12"/>
      <c r="C34" s="12"/>
      <c r="D34" s="5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100"/>
      <c r="B35" s="12"/>
      <c r="C35" s="12"/>
      <c r="D35" s="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100"/>
      <c r="B36" s="12"/>
      <c r="C36" s="12"/>
      <c r="D36" s="5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100"/>
      <c r="B37" s="12"/>
      <c r="C37" s="12"/>
      <c r="D37" s="5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100"/>
      <c r="B38" s="12"/>
      <c r="C38" s="12"/>
      <c r="D38" s="5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100"/>
      <c r="B39" s="12"/>
      <c r="C39" s="12"/>
      <c r="D39" s="5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100"/>
      <c r="B40" s="12"/>
      <c r="C40" s="12"/>
      <c r="D40" s="5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100"/>
      <c r="B41" s="12"/>
      <c r="C41" s="12"/>
      <c r="D41" s="5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100"/>
      <c r="B42" s="12"/>
      <c r="C42" s="12"/>
      <c r="D42" s="5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100"/>
      <c r="B43" s="12"/>
      <c r="C43" s="12"/>
      <c r="D43" s="5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100"/>
      <c r="B44" s="12"/>
      <c r="C44" s="12"/>
      <c r="D44" s="5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100"/>
      <c r="B45" s="12"/>
      <c r="C45" s="12"/>
      <c r="D45" s="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100"/>
      <c r="B46" s="12"/>
      <c r="C46" s="12"/>
      <c r="D46" s="5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100"/>
      <c r="B47" s="12"/>
      <c r="C47" s="12"/>
      <c r="D47" s="5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100"/>
      <c r="B48" s="12"/>
      <c r="C48" s="12"/>
      <c r="D48" s="5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100"/>
      <c r="B49" s="12"/>
      <c r="C49" s="12"/>
      <c r="D49" s="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100"/>
      <c r="B50" s="12"/>
      <c r="C50" s="12"/>
      <c r="D50" s="5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100"/>
      <c r="B51" s="12"/>
      <c r="C51" s="12"/>
      <c r="D51" s="5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100"/>
      <c r="B52" s="12"/>
      <c r="C52" s="12"/>
      <c r="D52" s="5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100"/>
      <c r="B53" s="12"/>
      <c r="C53" s="12"/>
      <c r="D53" s="5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100"/>
      <c r="B54" s="12"/>
      <c r="C54" s="12"/>
      <c r="D54" s="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100"/>
      <c r="B55" s="12"/>
      <c r="C55" s="12"/>
      <c r="D55" s="5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100"/>
      <c r="B56" s="12"/>
      <c r="C56" s="12"/>
      <c r="D56" s="5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100"/>
      <c r="B57" s="12"/>
      <c r="C57" s="12"/>
      <c r="D57" s="5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100"/>
      <c r="B58" s="12"/>
      <c r="C58" s="12"/>
      <c r="D58" s="5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100"/>
      <c r="B59" s="12"/>
      <c r="C59" s="12"/>
      <c r="D59" s="5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100"/>
      <c r="B60" s="12"/>
      <c r="C60" s="12"/>
      <c r="D60" s="5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100"/>
      <c r="B61" s="12"/>
      <c r="C61" s="12"/>
      <c r="D61" s="5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100"/>
      <c r="B62" s="12"/>
      <c r="C62" s="12"/>
      <c r="D62" s="5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100"/>
      <c r="B63" s="12"/>
      <c r="C63" s="12"/>
      <c r="D63" s="5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100"/>
      <c r="B64" s="12"/>
      <c r="C64" s="12"/>
      <c r="D64" s="5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100"/>
      <c r="B65" s="12"/>
      <c r="C65" s="12"/>
      <c r="D65" s="5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100"/>
      <c r="B66" s="12"/>
      <c r="C66" s="12"/>
      <c r="D66" s="5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100"/>
      <c r="B67" s="12"/>
      <c r="C67" s="12"/>
      <c r="D67" s="5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100"/>
      <c r="B68" s="12"/>
      <c r="C68" s="12"/>
      <c r="D68" s="5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100"/>
      <c r="B69" s="12"/>
      <c r="C69" s="12"/>
      <c r="D69" s="5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100"/>
      <c r="B70" s="12"/>
      <c r="C70" s="12"/>
      <c r="D70" s="5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100"/>
      <c r="B71" s="12"/>
      <c r="C71" s="12"/>
      <c r="D71" s="5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100"/>
      <c r="B72" s="12"/>
      <c r="C72" s="12"/>
      <c r="D72" s="5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100"/>
      <c r="B73" s="12"/>
      <c r="C73" s="12"/>
      <c r="D73" s="5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100"/>
      <c r="B74" s="12"/>
      <c r="C74" s="12"/>
      <c r="D74" s="5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100"/>
      <c r="B75" s="12"/>
      <c r="C75" s="12"/>
      <c r="D75" s="5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100"/>
      <c r="B76" s="12"/>
      <c r="C76" s="12"/>
      <c r="D76" s="5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100"/>
      <c r="B77" s="12"/>
      <c r="C77" s="12"/>
      <c r="D77" s="5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100"/>
      <c r="B78" s="12"/>
      <c r="C78" s="12"/>
      <c r="D78" s="5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100"/>
      <c r="B79" s="12"/>
      <c r="C79" s="12"/>
      <c r="D79" s="5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100"/>
      <c r="B80" s="12"/>
      <c r="C80" s="12"/>
      <c r="D80" s="5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100"/>
      <c r="B81" s="12"/>
      <c r="C81" s="12"/>
      <c r="D81" s="5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100"/>
      <c r="B82" s="12"/>
      <c r="C82" s="12"/>
      <c r="D82" s="5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100"/>
      <c r="B83" s="12"/>
      <c r="C83" s="12"/>
      <c r="D83" s="5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100"/>
      <c r="B84" s="12"/>
      <c r="C84" s="12"/>
      <c r="D84" s="5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100"/>
      <c r="B85" s="12"/>
      <c r="C85" s="12"/>
      <c r="D85" s="5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100"/>
      <c r="B86" s="12"/>
      <c r="C86" s="12"/>
      <c r="D86" s="5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100"/>
      <c r="B87" s="12"/>
      <c r="C87" s="12"/>
      <c r="D87" s="5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100"/>
      <c r="B88" s="12"/>
      <c r="C88" s="12"/>
      <c r="D88" s="5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100"/>
      <c r="B89" s="12"/>
      <c r="C89" s="12"/>
      <c r="D89" s="5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100"/>
      <c r="B90" s="12"/>
      <c r="C90" s="12"/>
      <c r="D90" s="5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100"/>
      <c r="B91" s="12"/>
      <c r="C91" s="12"/>
      <c r="D91" s="5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100"/>
      <c r="B92" s="12"/>
      <c r="C92" s="12"/>
      <c r="D92" s="5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100"/>
      <c r="B93" s="12"/>
      <c r="C93" s="12"/>
      <c r="D93" s="5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100"/>
      <c r="B94" s="12"/>
      <c r="C94" s="12"/>
      <c r="D94" s="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100"/>
      <c r="B95" s="12"/>
      <c r="C95" s="12"/>
      <c r="D95" s="5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100"/>
      <c r="B96" s="12"/>
      <c r="C96" s="12"/>
      <c r="D96" s="5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100"/>
      <c r="B97" s="12"/>
      <c r="C97" s="12"/>
      <c r="D97" s="5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100"/>
      <c r="B98" s="12"/>
      <c r="C98" s="12"/>
      <c r="D98" s="5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100"/>
      <c r="B99" s="12"/>
      <c r="C99" s="12"/>
      <c r="D99" s="5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100"/>
      <c r="B100" s="12"/>
      <c r="C100" s="12"/>
      <c r="D100" s="5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100"/>
      <c r="B101" s="12"/>
      <c r="C101" s="12"/>
      <c r="D101" s="5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100"/>
      <c r="B102" s="12"/>
      <c r="C102" s="12"/>
      <c r="D102" s="5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00"/>
      <c r="B103" s="12"/>
      <c r="C103" s="12"/>
      <c r="D103" s="5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100"/>
      <c r="B104" s="12"/>
      <c r="C104" s="12"/>
      <c r="D104" s="5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100"/>
      <c r="B105" s="12"/>
      <c r="C105" s="12"/>
      <c r="D105" s="5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100"/>
      <c r="B106" s="12"/>
      <c r="C106" s="12"/>
      <c r="D106" s="5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100"/>
      <c r="B107" s="12"/>
      <c r="C107" s="12"/>
      <c r="D107" s="5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100"/>
      <c r="B108" s="12"/>
      <c r="C108" s="12"/>
      <c r="D108" s="5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100"/>
      <c r="B109" s="12"/>
      <c r="C109" s="12"/>
      <c r="D109" s="5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00"/>
      <c r="B110" s="12"/>
      <c r="C110" s="12"/>
      <c r="D110" s="5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00"/>
      <c r="B111" s="12"/>
      <c r="C111" s="12"/>
      <c r="D111" s="5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100"/>
      <c r="B112" s="12"/>
      <c r="C112" s="12"/>
      <c r="D112" s="5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00"/>
      <c r="B113" s="12"/>
      <c r="C113" s="12"/>
      <c r="D113" s="5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00"/>
      <c r="B114" s="12"/>
      <c r="C114" s="12"/>
      <c r="D114" s="5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00"/>
      <c r="B115" s="12"/>
      <c r="C115" s="12"/>
      <c r="D115" s="5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00"/>
      <c r="B116" s="12"/>
      <c r="C116" s="12"/>
      <c r="D116" s="5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00"/>
      <c r="B117" s="12"/>
      <c r="C117" s="12"/>
      <c r="D117" s="5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00"/>
      <c r="B118" s="12"/>
      <c r="C118" s="12"/>
      <c r="D118" s="5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100"/>
      <c r="B119" s="12"/>
      <c r="C119" s="12"/>
      <c r="D119" s="5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00"/>
      <c r="B120" s="12"/>
      <c r="C120" s="12"/>
      <c r="D120" s="5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00"/>
      <c r="B121" s="12"/>
      <c r="C121" s="12"/>
      <c r="D121" s="5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00"/>
      <c r="B122" s="12"/>
      <c r="C122" s="12"/>
      <c r="D122" s="5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100"/>
      <c r="B123" s="12"/>
      <c r="C123" s="12"/>
      <c r="D123" s="5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00"/>
      <c r="B124" s="12"/>
      <c r="C124" s="12"/>
      <c r="D124" s="5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00"/>
      <c r="B125" s="12"/>
      <c r="C125" s="12"/>
      <c r="D125" s="5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00"/>
      <c r="B126" s="12"/>
      <c r="C126" s="12"/>
      <c r="D126" s="5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00"/>
      <c r="B127" s="12"/>
      <c r="C127" s="12"/>
      <c r="D127" s="5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00"/>
      <c r="B128" s="12"/>
      <c r="C128" s="12"/>
      <c r="D128" s="5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00"/>
      <c r="B129" s="12"/>
      <c r="C129" s="12"/>
      <c r="D129" s="5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100"/>
      <c r="B130" s="12"/>
      <c r="C130" s="12"/>
      <c r="D130" s="5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00"/>
      <c r="B131" s="12"/>
      <c r="C131" s="12"/>
      <c r="D131" s="5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00"/>
      <c r="B132" s="12"/>
      <c r="C132" s="12"/>
      <c r="D132" s="5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00"/>
      <c r="B133" s="12"/>
      <c r="C133" s="12"/>
      <c r="D133" s="5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100"/>
      <c r="B134" s="12"/>
      <c r="C134" s="12"/>
      <c r="D134" s="5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00"/>
      <c r="B135" s="12"/>
      <c r="C135" s="12"/>
      <c r="D135" s="5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00"/>
      <c r="B136" s="12"/>
      <c r="C136" s="12"/>
      <c r="D136" s="5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00"/>
      <c r="B137" s="12"/>
      <c r="C137" s="12"/>
      <c r="D137" s="5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00"/>
      <c r="B138" s="12"/>
      <c r="C138" s="12"/>
      <c r="D138" s="5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00"/>
      <c r="B139" s="12"/>
      <c r="C139" s="12"/>
      <c r="D139" s="5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00"/>
      <c r="B140" s="12"/>
      <c r="C140" s="12"/>
      <c r="D140" s="5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100"/>
      <c r="B141" s="12"/>
      <c r="C141" s="12"/>
      <c r="D141" s="5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00"/>
      <c r="B142" s="12"/>
      <c r="C142" s="12"/>
      <c r="D142" s="5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00"/>
      <c r="B143" s="12"/>
      <c r="C143" s="12"/>
      <c r="D143" s="5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00"/>
      <c r="B144" s="12"/>
      <c r="C144" s="12"/>
      <c r="D144" s="5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100"/>
      <c r="B145" s="12"/>
      <c r="C145" s="12"/>
      <c r="D145" s="5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00"/>
      <c r="B146" s="12"/>
      <c r="C146" s="12"/>
      <c r="D146" s="5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00"/>
      <c r="B147" s="12"/>
      <c r="C147" s="12"/>
      <c r="D147" s="5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00"/>
      <c r="B148" s="12"/>
      <c r="C148" s="12"/>
      <c r="D148" s="5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00"/>
      <c r="B149" s="12"/>
      <c r="C149" s="12"/>
      <c r="D149" s="5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00"/>
      <c r="B150" s="12"/>
      <c r="C150" s="12"/>
      <c r="D150" s="5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00"/>
      <c r="B151" s="12"/>
      <c r="C151" s="12"/>
      <c r="D151" s="5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100"/>
      <c r="B152" s="12"/>
      <c r="C152" s="12"/>
      <c r="D152" s="5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00"/>
      <c r="B153" s="12"/>
      <c r="C153" s="12"/>
      <c r="D153" s="5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00"/>
      <c r="B154" s="12"/>
      <c r="C154" s="12"/>
      <c r="D154" s="5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00"/>
      <c r="B155" s="12"/>
      <c r="C155" s="12"/>
      <c r="D155" s="5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100"/>
      <c r="B156" s="12"/>
      <c r="C156" s="12"/>
      <c r="D156" s="5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100"/>
      <c r="B157" s="12"/>
      <c r="C157" s="12"/>
      <c r="D157" s="5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00"/>
      <c r="B158" s="12"/>
      <c r="C158" s="12"/>
      <c r="D158" s="5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00"/>
      <c r="B159" s="12"/>
      <c r="C159" s="12"/>
      <c r="D159" s="5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00"/>
      <c r="B160" s="12"/>
      <c r="C160" s="12"/>
      <c r="D160" s="5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00"/>
      <c r="B161" s="12"/>
      <c r="C161" s="12"/>
      <c r="D161" s="5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00"/>
      <c r="B162" s="12"/>
      <c r="C162" s="12"/>
      <c r="D162" s="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100"/>
      <c r="B163" s="12"/>
      <c r="C163" s="12"/>
      <c r="D163" s="5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00"/>
      <c r="B164" s="12"/>
      <c r="C164" s="12"/>
      <c r="D164" s="5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00"/>
      <c r="B165" s="12"/>
      <c r="C165" s="12"/>
      <c r="D165" s="5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00"/>
      <c r="B166" s="12"/>
      <c r="C166" s="12"/>
      <c r="D166" s="5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100"/>
      <c r="B167" s="12"/>
      <c r="C167" s="12"/>
      <c r="D167" s="5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00"/>
      <c r="B168" s="12"/>
      <c r="C168" s="12"/>
      <c r="D168" s="5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00"/>
      <c r="B169" s="12"/>
      <c r="C169" s="12"/>
      <c r="D169" s="5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00"/>
      <c r="B170" s="12"/>
      <c r="C170" s="12"/>
      <c r="D170" s="5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00"/>
      <c r="B171" s="12"/>
      <c r="C171" s="12"/>
      <c r="D171" s="5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00"/>
      <c r="B172" s="12"/>
      <c r="C172" s="12"/>
      <c r="D172" s="5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00"/>
      <c r="B173" s="12"/>
      <c r="C173" s="12"/>
      <c r="D173" s="5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100"/>
      <c r="B174" s="12"/>
      <c r="C174" s="12"/>
      <c r="D174" s="5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00"/>
      <c r="B175" s="12"/>
      <c r="C175" s="12"/>
      <c r="D175" s="5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00"/>
      <c r="B176" s="12"/>
      <c r="C176" s="12"/>
      <c r="D176" s="5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00"/>
      <c r="B177" s="12"/>
      <c r="C177" s="12"/>
      <c r="D177" s="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100"/>
      <c r="B178" s="12"/>
      <c r="C178" s="12"/>
      <c r="D178" s="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00"/>
      <c r="B179" s="12"/>
      <c r="C179" s="12"/>
      <c r="D179" s="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00"/>
      <c r="B180" s="12"/>
      <c r="C180" s="12"/>
      <c r="D180" s="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00"/>
      <c r="B181" s="12"/>
      <c r="C181" s="12"/>
      <c r="D181" s="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00"/>
      <c r="B182" s="12"/>
      <c r="C182" s="12"/>
      <c r="D182" s="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00"/>
      <c r="B183" s="12"/>
      <c r="C183" s="12"/>
      <c r="D183" s="5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00"/>
      <c r="B184" s="12"/>
      <c r="C184" s="12"/>
      <c r="D184" s="5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100"/>
      <c r="B185" s="12"/>
      <c r="C185" s="12"/>
      <c r="D185" s="5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00"/>
      <c r="B186" s="12"/>
      <c r="C186" s="12"/>
      <c r="D186" s="5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00"/>
      <c r="B187" s="12"/>
      <c r="C187" s="12"/>
      <c r="D187" s="5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00"/>
      <c r="B188" s="12"/>
      <c r="C188" s="12"/>
      <c r="D188" s="5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100"/>
      <c r="B189" s="12"/>
      <c r="C189" s="12"/>
      <c r="D189" s="5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00"/>
      <c r="B190" s="12"/>
      <c r="C190" s="12"/>
      <c r="D190" s="5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00"/>
      <c r="B191" s="12"/>
      <c r="C191" s="12"/>
      <c r="D191" s="5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00"/>
      <c r="B192" s="12"/>
      <c r="C192" s="12"/>
      <c r="D192" s="5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00"/>
      <c r="B193" s="12"/>
      <c r="C193" s="12"/>
      <c r="D193" s="5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00"/>
      <c r="B194" s="12"/>
      <c r="C194" s="12"/>
      <c r="D194" s="5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00"/>
      <c r="B195" s="12"/>
      <c r="C195" s="12"/>
      <c r="D195" s="5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100"/>
      <c r="B196" s="12"/>
      <c r="C196" s="12"/>
      <c r="D196" s="5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00"/>
      <c r="B197" s="12"/>
      <c r="C197" s="12"/>
      <c r="D197" s="5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00"/>
      <c r="B198" s="12"/>
      <c r="C198" s="12"/>
      <c r="D198" s="5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00"/>
      <c r="B199" s="12"/>
      <c r="C199" s="12"/>
      <c r="D199" s="5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100"/>
      <c r="B200" s="12"/>
      <c r="C200" s="12"/>
      <c r="D200" s="5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00"/>
      <c r="B201" s="12"/>
      <c r="C201" s="12"/>
      <c r="D201" s="5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00"/>
      <c r="B202" s="12"/>
      <c r="C202" s="12"/>
      <c r="D202" s="5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00"/>
      <c r="B203" s="12"/>
      <c r="C203" s="12"/>
      <c r="D203" s="5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00"/>
      <c r="B204" s="12"/>
      <c r="C204" s="12"/>
      <c r="D204" s="5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00"/>
      <c r="B205" s="12"/>
      <c r="C205" s="12"/>
      <c r="D205" s="5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00"/>
      <c r="B206" s="12"/>
      <c r="C206" s="12"/>
      <c r="D206" s="5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100"/>
      <c r="B207" s="12"/>
      <c r="C207" s="12"/>
      <c r="D207" s="5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100"/>
      <c r="B208" s="12"/>
      <c r="C208" s="12"/>
      <c r="D208" s="5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00"/>
      <c r="B209" s="12"/>
      <c r="C209" s="12"/>
      <c r="D209" s="5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00"/>
      <c r="B210" s="12"/>
      <c r="C210" s="12"/>
      <c r="D210" s="5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100"/>
      <c r="B211" s="12"/>
      <c r="C211" s="12"/>
      <c r="D211" s="5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00"/>
      <c r="B212" s="12"/>
      <c r="C212" s="12"/>
      <c r="D212" s="5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00"/>
      <c r="B213" s="12"/>
      <c r="C213" s="12"/>
      <c r="D213" s="5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00"/>
      <c r="B214" s="12"/>
      <c r="C214" s="12"/>
      <c r="D214" s="5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00"/>
      <c r="B215" s="12"/>
      <c r="C215" s="12"/>
      <c r="D215" s="5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00"/>
      <c r="B216" s="12"/>
      <c r="C216" s="12"/>
      <c r="D216" s="5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00"/>
      <c r="B217" s="12"/>
      <c r="C217" s="12"/>
      <c r="D217" s="5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100"/>
      <c r="B218" s="12"/>
      <c r="C218" s="12"/>
      <c r="D218" s="5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00"/>
      <c r="B219" s="12"/>
      <c r="C219" s="12"/>
      <c r="D219" s="5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00"/>
      <c r="B220" s="12"/>
      <c r="C220" s="12"/>
      <c r="D220" s="5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100"/>
      <c r="B221" s="12"/>
      <c r="C221" s="12"/>
      <c r="D221" s="5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100"/>
      <c r="B222" s="12"/>
      <c r="C222" s="12"/>
      <c r="D222" s="5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100"/>
      <c r="B223" s="12"/>
      <c r="C223" s="12"/>
      <c r="D223" s="5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100"/>
      <c r="B224" s="12"/>
      <c r="C224" s="12"/>
      <c r="D224" s="5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100"/>
      <c r="B225" s="12"/>
      <c r="C225" s="12"/>
      <c r="D225" s="5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100"/>
      <c r="B226" s="12"/>
      <c r="C226" s="12"/>
      <c r="D226" s="5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100"/>
      <c r="B227" s="12"/>
      <c r="C227" s="12"/>
      <c r="D227" s="5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100"/>
      <c r="B228" s="12"/>
      <c r="C228" s="12"/>
      <c r="D228" s="5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100"/>
      <c r="B229" s="12"/>
      <c r="C229" s="12"/>
      <c r="D229" s="5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100"/>
      <c r="B230" s="12"/>
      <c r="C230" s="12"/>
      <c r="D230" s="5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100"/>
      <c r="B231" s="12"/>
      <c r="C231" s="12"/>
      <c r="D231" s="5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100"/>
      <c r="B232" s="12"/>
      <c r="C232" s="12"/>
      <c r="D232" s="5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100"/>
      <c r="B233" s="12"/>
      <c r="C233" s="12"/>
      <c r="D233" s="5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100"/>
      <c r="B234" s="12"/>
      <c r="C234" s="12"/>
      <c r="D234" s="5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100"/>
      <c r="B235" s="12"/>
      <c r="C235" s="12"/>
      <c r="D235" s="5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100"/>
      <c r="B236" s="12"/>
      <c r="C236" s="12"/>
      <c r="D236" s="5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100"/>
      <c r="B237" s="12"/>
      <c r="C237" s="12"/>
      <c r="D237" s="5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100"/>
      <c r="B238" s="12"/>
      <c r="C238" s="12"/>
      <c r="D238" s="5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100"/>
      <c r="B239" s="12"/>
      <c r="C239" s="12"/>
      <c r="D239" s="5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100"/>
      <c r="B240" s="12"/>
      <c r="C240" s="12"/>
      <c r="D240" s="5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100"/>
      <c r="B241" s="12"/>
      <c r="C241" s="12"/>
      <c r="D241" s="5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100"/>
      <c r="B242" s="12"/>
      <c r="C242" s="12"/>
      <c r="D242" s="5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100"/>
      <c r="B243" s="12"/>
      <c r="C243" s="12"/>
      <c r="D243" s="5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100"/>
      <c r="B244" s="12"/>
      <c r="C244" s="12"/>
      <c r="D244" s="5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100"/>
      <c r="B245" s="12"/>
      <c r="C245" s="12"/>
      <c r="D245" s="5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100"/>
      <c r="B246" s="12"/>
      <c r="C246" s="12"/>
      <c r="D246" s="5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100"/>
      <c r="B247" s="12"/>
      <c r="C247" s="12"/>
      <c r="D247" s="5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100"/>
      <c r="B248" s="12"/>
      <c r="C248" s="12"/>
      <c r="D248" s="5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100"/>
      <c r="B249" s="12"/>
      <c r="C249" s="12"/>
      <c r="D249" s="5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100"/>
      <c r="B250" s="12"/>
      <c r="C250" s="12"/>
      <c r="D250" s="5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100"/>
      <c r="B251" s="12"/>
      <c r="C251" s="12"/>
      <c r="D251" s="5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100"/>
      <c r="B252" s="12"/>
      <c r="C252" s="12"/>
      <c r="D252" s="5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100"/>
      <c r="B253" s="12"/>
      <c r="C253" s="12"/>
      <c r="D253" s="5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100"/>
      <c r="B254" s="12"/>
      <c r="C254" s="12"/>
      <c r="D254" s="5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100"/>
      <c r="B255" s="12"/>
      <c r="C255" s="12"/>
      <c r="D255" s="5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100"/>
      <c r="B256" s="12"/>
      <c r="C256" s="12"/>
      <c r="D256" s="5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100"/>
      <c r="B257" s="12"/>
      <c r="C257" s="12"/>
      <c r="D257" s="5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100"/>
      <c r="B258" s="12"/>
      <c r="C258" s="12"/>
      <c r="D258" s="5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100"/>
      <c r="B259" s="12"/>
      <c r="C259" s="12"/>
      <c r="D259" s="5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100"/>
      <c r="B260" s="12"/>
      <c r="C260" s="12"/>
      <c r="D260" s="5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100"/>
      <c r="B261" s="12"/>
      <c r="C261" s="12"/>
      <c r="D261" s="5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100"/>
      <c r="B262" s="12"/>
      <c r="C262" s="12"/>
      <c r="D262" s="5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100"/>
      <c r="B263" s="12"/>
      <c r="C263" s="12"/>
      <c r="D263" s="5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100"/>
      <c r="B264" s="12"/>
      <c r="C264" s="12"/>
      <c r="D264" s="5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100"/>
      <c r="B265" s="12"/>
      <c r="C265" s="12"/>
      <c r="D265" s="5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100"/>
      <c r="B266" s="12"/>
      <c r="C266" s="12"/>
      <c r="D266" s="5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100"/>
      <c r="B267" s="12"/>
      <c r="C267" s="12"/>
      <c r="D267" s="5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100"/>
      <c r="B268" s="12"/>
      <c r="C268" s="12"/>
      <c r="D268" s="5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100"/>
      <c r="B269" s="12"/>
      <c r="C269" s="12"/>
      <c r="D269" s="5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100"/>
      <c r="B270" s="12"/>
      <c r="C270" s="12"/>
      <c r="D270" s="5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100"/>
      <c r="B271" s="12"/>
      <c r="C271" s="12"/>
      <c r="D271" s="5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100"/>
      <c r="B272" s="12"/>
      <c r="C272" s="12"/>
      <c r="D272" s="5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100"/>
      <c r="B273" s="12"/>
      <c r="C273" s="12"/>
      <c r="D273" s="5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100"/>
      <c r="B274" s="12"/>
      <c r="C274" s="12"/>
      <c r="D274" s="5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100"/>
      <c r="B275" s="12"/>
      <c r="C275" s="12"/>
      <c r="D275" s="5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100"/>
      <c r="B276" s="12"/>
      <c r="C276" s="12"/>
      <c r="D276" s="5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100"/>
      <c r="B277" s="12"/>
      <c r="C277" s="12"/>
      <c r="D277" s="5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100"/>
      <c r="B278" s="12"/>
      <c r="C278" s="12"/>
      <c r="D278" s="5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100"/>
      <c r="B279" s="12"/>
      <c r="C279" s="12"/>
      <c r="D279" s="5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100"/>
      <c r="B280" s="12"/>
      <c r="C280" s="12"/>
      <c r="D280" s="5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100"/>
      <c r="B281" s="12"/>
      <c r="C281" s="12"/>
      <c r="D281" s="5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100"/>
      <c r="B282" s="12"/>
      <c r="C282" s="12"/>
      <c r="D282" s="5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100"/>
      <c r="B283" s="12"/>
      <c r="C283" s="12"/>
      <c r="D283" s="5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100"/>
      <c r="B284" s="12"/>
      <c r="C284" s="12"/>
      <c r="D284" s="5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100"/>
      <c r="B285" s="12"/>
      <c r="C285" s="12"/>
      <c r="D285" s="5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100"/>
      <c r="B286" s="12"/>
      <c r="C286" s="12"/>
      <c r="D286" s="5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100"/>
      <c r="B287" s="12"/>
      <c r="C287" s="12"/>
      <c r="D287" s="5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100"/>
      <c r="B288" s="12"/>
      <c r="C288" s="12"/>
      <c r="D288" s="5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100"/>
      <c r="B289" s="12"/>
      <c r="C289" s="12"/>
      <c r="D289" s="5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100"/>
      <c r="B290" s="12"/>
      <c r="C290" s="12"/>
      <c r="D290" s="5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100"/>
      <c r="B291" s="12"/>
      <c r="C291" s="12"/>
      <c r="D291" s="5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100"/>
      <c r="B292" s="12"/>
      <c r="C292" s="12"/>
      <c r="D292" s="5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100"/>
      <c r="B293" s="12"/>
      <c r="C293" s="12"/>
      <c r="D293" s="5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100"/>
      <c r="B294" s="12"/>
      <c r="C294" s="12"/>
      <c r="D294" s="5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100"/>
      <c r="B295" s="12"/>
      <c r="C295" s="12"/>
      <c r="D295" s="5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100"/>
      <c r="B296" s="12"/>
      <c r="C296" s="12"/>
      <c r="D296" s="5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100"/>
      <c r="B297" s="12"/>
      <c r="C297" s="12"/>
      <c r="D297" s="5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100"/>
      <c r="B298" s="12"/>
      <c r="C298" s="12"/>
      <c r="D298" s="5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100"/>
      <c r="B299" s="12"/>
      <c r="C299" s="12"/>
      <c r="D299" s="5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100"/>
      <c r="B300" s="12"/>
      <c r="C300" s="12"/>
      <c r="D300" s="5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100"/>
      <c r="B301" s="12"/>
      <c r="C301" s="12"/>
      <c r="D301" s="5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100"/>
      <c r="B302" s="12"/>
      <c r="C302" s="12"/>
      <c r="D302" s="5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100"/>
      <c r="B303" s="12"/>
      <c r="C303" s="12"/>
      <c r="D303" s="5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100"/>
      <c r="B304" s="12"/>
      <c r="C304" s="12"/>
      <c r="D304" s="5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100"/>
      <c r="B305" s="12"/>
      <c r="C305" s="12"/>
      <c r="D305" s="5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100"/>
      <c r="B306" s="12"/>
      <c r="C306" s="12"/>
      <c r="D306" s="5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100"/>
      <c r="B307" s="12"/>
      <c r="C307" s="12"/>
      <c r="D307" s="5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100"/>
      <c r="B308" s="12"/>
      <c r="C308" s="12"/>
      <c r="D308" s="5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100"/>
      <c r="B309" s="12"/>
      <c r="C309" s="12"/>
      <c r="D309" s="5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100"/>
      <c r="B310" s="12"/>
      <c r="C310" s="12"/>
      <c r="D310" s="5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100"/>
      <c r="B311" s="12"/>
      <c r="C311" s="12"/>
      <c r="D311" s="5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100"/>
      <c r="B312" s="12"/>
      <c r="C312" s="12"/>
      <c r="D312" s="5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100"/>
      <c r="B313" s="12"/>
      <c r="C313" s="12"/>
      <c r="D313" s="5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100"/>
      <c r="B314" s="12"/>
      <c r="C314" s="12"/>
      <c r="D314" s="5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100"/>
      <c r="B315" s="12"/>
      <c r="C315" s="12"/>
      <c r="D315" s="5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100"/>
      <c r="B316" s="12"/>
      <c r="C316" s="12"/>
      <c r="D316" s="5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100"/>
      <c r="B317" s="12"/>
      <c r="C317" s="12"/>
      <c r="D317" s="5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100"/>
      <c r="B318" s="12"/>
      <c r="C318" s="12"/>
      <c r="D318" s="5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100"/>
      <c r="B319" s="12"/>
      <c r="C319" s="12"/>
      <c r="D319" s="5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100"/>
      <c r="B320" s="12"/>
      <c r="C320" s="12"/>
      <c r="D320" s="5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100"/>
      <c r="B321" s="12"/>
      <c r="C321" s="12"/>
      <c r="D321" s="5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100"/>
      <c r="B322" s="12"/>
      <c r="C322" s="12"/>
      <c r="D322" s="5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100"/>
      <c r="B323" s="12"/>
      <c r="C323" s="12"/>
      <c r="D323" s="5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100"/>
      <c r="B324" s="12"/>
      <c r="C324" s="12"/>
      <c r="D324" s="5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100"/>
      <c r="B325" s="12"/>
      <c r="C325" s="12"/>
      <c r="D325" s="5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100"/>
      <c r="B326" s="12"/>
      <c r="C326" s="12"/>
      <c r="D326" s="5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100"/>
      <c r="B327" s="12"/>
      <c r="C327" s="12"/>
      <c r="D327" s="5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100"/>
      <c r="B328" s="12"/>
      <c r="C328" s="12"/>
      <c r="D328" s="5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100"/>
      <c r="B329" s="12"/>
      <c r="C329" s="12"/>
      <c r="D329" s="5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100"/>
      <c r="B330" s="12"/>
      <c r="C330" s="12"/>
      <c r="D330" s="5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100"/>
      <c r="B331" s="12"/>
      <c r="C331" s="12"/>
      <c r="D331" s="5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100"/>
      <c r="B332" s="12"/>
      <c r="C332" s="12"/>
      <c r="D332" s="5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100"/>
      <c r="B333" s="12"/>
      <c r="C333" s="12"/>
      <c r="D333" s="5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100"/>
      <c r="B334" s="12"/>
      <c r="C334" s="12"/>
      <c r="D334" s="5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100"/>
      <c r="B335" s="12"/>
      <c r="C335" s="12"/>
      <c r="D335" s="5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100"/>
      <c r="B336" s="12"/>
      <c r="C336" s="12"/>
      <c r="D336" s="5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100"/>
      <c r="B337" s="12"/>
      <c r="C337" s="12"/>
      <c r="D337" s="5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100"/>
      <c r="B338" s="12"/>
      <c r="C338" s="12"/>
      <c r="D338" s="5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100"/>
      <c r="B339" s="12"/>
      <c r="C339" s="12"/>
      <c r="D339" s="5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100"/>
      <c r="B340" s="12"/>
      <c r="C340" s="12"/>
      <c r="D340" s="5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100"/>
      <c r="B341" s="12"/>
      <c r="C341" s="12"/>
      <c r="D341" s="5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100"/>
      <c r="B342" s="12"/>
      <c r="C342" s="12"/>
      <c r="D342" s="5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100"/>
      <c r="B343" s="12"/>
      <c r="C343" s="12"/>
      <c r="D343" s="5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100"/>
      <c r="B344" s="12"/>
      <c r="C344" s="12"/>
      <c r="D344" s="5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100"/>
      <c r="B345" s="12"/>
      <c r="C345" s="12"/>
      <c r="D345" s="5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100"/>
      <c r="B346" s="12"/>
      <c r="C346" s="12"/>
      <c r="D346" s="5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100"/>
      <c r="B347" s="12"/>
      <c r="C347" s="12"/>
      <c r="D347" s="5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100"/>
      <c r="B348" s="12"/>
      <c r="C348" s="12"/>
      <c r="D348" s="5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100"/>
      <c r="B349" s="12"/>
      <c r="C349" s="12"/>
      <c r="D349" s="5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100"/>
      <c r="B350" s="12"/>
      <c r="C350" s="12"/>
      <c r="D350" s="5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100"/>
      <c r="B351" s="12"/>
      <c r="C351" s="12"/>
      <c r="D351" s="5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100"/>
      <c r="B352" s="12"/>
      <c r="C352" s="12"/>
      <c r="D352" s="5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100"/>
      <c r="B353" s="12"/>
      <c r="C353" s="12"/>
      <c r="D353" s="5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100"/>
      <c r="B354" s="12"/>
      <c r="C354" s="12"/>
      <c r="D354" s="5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100"/>
      <c r="B355" s="12"/>
      <c r="C355" s="12"/>
      <c r="D355" s="5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100"/>
      <c r="B356" s="12"/>
      <c r="C356" s="12"/>
      <c r="D356" s="5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100"/>
      <c r="B357" s="12"/>
      <c r="C357" s="12"/>
      <c r="D357" s="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100"/>
      <c r="B358" s="12"/>
      <c r="C358" s="12"/>
      <c r="D358" s="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100"/>
      <c r="B359" s="12"/>
      <c r="C359" s="12"/>
      <c r="D359" s="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100"/>
      <c r="B360" s="12"/>
      <c r="C360" s="12"/>
      <c r="D360" s="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100"/>
      <c r="B361" s="12"/>
      <c r="C361" s="12"/>
      <c r="D361" s="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100"/>
      <c r="B362" s="12"/>
      <c r="C362" s="12"/>
      <c r="D362" s="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100"/>
      <c r="B363" s="12"/>
      <c r="C363" s="12"/>
      <c r="D363" s="5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100"/>
      <c r="B364" s="12"/>
      <c r="C364" s="12"/>
      <c r="D364" s="5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100"/>
      <c r="B365" s="12"/>
      <c r="C365" s="12"/>
      <c r="D365" s="5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100"/>
      <c r="B366" s="12"/>
      <c r="C366" s="12"/>
      <c r="D366" s="5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100"/>
      <c r="B367" s="12"/>
      <c r="C367" s="12"/>
      <c r="D367" s="5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100"/>
      <c r="B368" s="12"/>
      <c r="C368" s="12"/>
      <c r="D368" s="5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100"/>
      <c r="B369" s="12"/>
      <c r="C369" s="12"/>
      <c r="D369" s="5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100"/>
      <c r="B370" s="12"/>
      <c r="C370" s="12"/>
      <c r="D370" s="5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100"/>
      <c r="B371" s="12"/>
      <c r="C371" s="12"/>
      <c r="D371" s="5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100"/>
      <c r="B372" s="12"/>
      <c r="C372" s="12"/>
      <c r="D372" s="5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100"/>
      <c r="B373" s="12"/>
      <c r="C373" s="12"/>
      <c r="D373" s="5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100"/>
      <c r="B374" s="12"/>
      <c r="C374" s="12"/>
      <c r="D374" s="5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100"/>
      <c r="B375" s="12"/>
      <c r="C375" s="12"/>
      <c r="D375" s="5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100"/>
      <c r="B376" s="12"/>
      <c r="C376" s="12"/>
      <c r="D376" s="5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100"/>
      <c r="B377" s="12"/>
      <c r="C377" s="12"/>
      <c r="D377" s="5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100"/>
      <c r="B378" s="12"/>
      <c r="C378" s="12"/>
      <c r="D378" s="5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100"/>
      <c r="B379" s="12"/>
      <c r="C379" s="12"/>
      <c r="D379" s="5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100"/>
      <c r="B380" s="12"/>
      <c r="C380" s="12"/>
      <c r="D380" s="5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100"/>
      <c r="B381" s="12"/>
      <c r="C381" s="12"/>
      <c r="D381" s="5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100"/>
      <c r="B382" s="12"/>
      <c r="C382" s="12"/>
      <c r="D382" s="5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100"/>
      <c r="B383" s="12"/>
      <c r="C383" s="12"/>
      <c r="D383" s="5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100"/>
      <c r="B384" s="12"/>
      <c r="C384" s="12"/>
      <c r="D384" s="5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100"/>
      <c r="B385" s="12"/>
      <c r="C385" s="12"/>
      <c r="D385" s="5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100"/>
      <c r="B386" s="12"/>
      <c r="C386" s="12"/>
      <c r="D386" s="5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100"/>
      <c r="B387" s="12"/>
      <c r="C387" s="12"/>
      <c r="D387" s="5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100"/>
      <c r="B388" s="12"/>
      <c r="C388" s="12"/>
      <c r="D388" s="5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100"/>
      <c r="B389" s="12"/>
      <c r="C389" s="12"/>
      <c r="D389" s="5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100"/>
      <c r="B390" s="12"/>
      <c r="C390" s="12"/>
      <c r="D390" s="5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100"/>
      <c r="B391" s="12"/>
      <c r="C391" s="12"/>
      <c r="D391" s="5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100"/>
      <c r="B392" s="12"/>
      <c r="C392" s="12"/>
      <c r="D392" s="5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100"/>
      <c r="B393" s="12"/>
      <c r="C393" s="12"/>
      <c r="D393" s="5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100"/>
      <c r="B394" s="12"/>
      <c r="C394" s="12"/>
      <c r="D394" s="5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100"/>
      <c r="B395" s="12"/>
      <c r="C395" s="12"/>
      <c r="D395" s="5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100"/>
      <c r="B396" s="12"/>
      <c r="C396" s="12"/>
      <c r="D396" s="5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100"/>
      <c r="B397" s="12"/>
      <c r="C397" s="12"/>
      <c r="D397" s="5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100"/>
      <c r="B398" s="12"/>
      <c r="C398" s="12"/>
      <c r="D398" s="5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100"/>
      <c r="B399" s="12"/>
      <c r="C399" s="12"/>
      <c r="D399" s="5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100"/>
      <c r="B400" s="12"/>
      <c r="C400" s="12"/>
      <c r="D400" s="5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100"/>
      <c r="B401" s="12"/>
      <c r="C401" s="12"/>
      <c r="D401" s="5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100"/>
      <c r="B402" s="12"/>
      <c r="C402" s="12"/>
      <c r="D402" s="5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100"/>
      <c r="B403" s="12"/>
      <c r="C403" s="12"/>
      <c r="D403" s="5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100"/>
      <c r="B404" s="12"/>
      <c r="C404" s="12"/>
      <c r="D404" s="5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100"/>
      <c r="B405" s="12"/>
      <c r="C405" s="12"/>
      <c r="D405" s="5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100"/>
      <c r="B406" s="12"/>
      <c r="C406" s="12"/>
      <c r="D406" s="5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100"/>
      <c r="B407" s="12"/>
      <c r="C407" s="12"/>
      <c r="D407" s="5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100"/>
      <c r="B408" s="12"/>
      <c r="C408" s="12"/>
      <c r="D408" s="5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100"/>
      <c r="B409" s="12"/>
      <c r="C409" s="12"/>
      <c r="D409" s="5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100"/>
      <c r="B410" s="12"/>
      <c r="C410" s="12"/>
      <c r="D410" s="5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100"/>
      <c r="B411" s="12"/>
      <c r="C411" s="12"/>
      <c r="D411" s="5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100"/>
      <c r="B412" s="12"/>
      <c r="C412" s="12"/>
      <c r="D412" s="5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100"/>
      <c r="B413" s="12"/>
      <c r="C413" s="12"/>
      <c r="D413" s="5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100"/>
      <c r="B414" s="12"/>
      <c r="C414" s="12"/>
      <c r="D414" s="5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100"/>
      <c r="B415" s="12"/>
      <c r="C415" s="12"/>
      <c r="D415" s="5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100"/>
      <c r="B416" s="12"/>
      <c r="C416" s="12"/>
      <c r="D416" s="5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100"/>
      <c r="B417" s="12"/>
      <c r="C417" s="12"/>
      <c r="D417" s="5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100"/>
      <c r="B418" s="12"/>
      <c r="C418" s="12"/>
      <c r="D418" s="5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100"/>
      <c r="B419" s="12"/>
      <c r="C419" s="12"/>
      <c r="D419" s="5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100"/>
      <c r="B420" s="12"/>
      <c r="C420" s="12"/>
      <c r="D420" s="5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100"/>
      <c r="B421" s="12"/>
      <c r="C421" s="12"/>
      <c r="D421" s="5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100"/>
      <c r="B422" s="12"/>
      <c r="C422" s="12"/>
      <c r="D422" s="5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100"/>
      <c r="B423" s="12"/>
      <c r="C423" s="12"/>
      <c r="D423" s="5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100"/>
      <c r="B424" s="12"/>
      <c r="C424" s="12"/>
      <c r="D424" s="5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100"/>
      <c r="B425" s="12"/>
      <c r="C425" s="12"/>
      <c r="D425" s="5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100"/>
      <c r="B426" s="12"/>
      <c r="C426" s="12"/>
      <c r="D426" s="5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100"/>
      <c r="B427" s="12"/>
      <c r="C427" s="12"/>
      <c r="D427" s="5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100"/>
      <c r="B428" s="12"/>
      <c r="C428" s="12"/>
      <c r="D428" s="5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100"/>
      <c r="B429" s="12"/>
      <c r="C429" s="12"/>
      <c r="D429" s="5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100"/>
      <c r="B430" s="12"/>
      <c r="C430" s="12"/>
      <c r="D430" s="5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100"/>
      <c r="B431" s="12"/>
      <c r="C431" s="12"/>
      <c r="D431" s="5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100"/>
      <c r="B432" s="12"/>
      <c r="C432" s="12"/>
      <c r="D432" s="5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100"/>
      <c r="B433" s="12"/>
      <c r="C433" s="12"/>
      <c r="D433" s="5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100"/>
      <c r="B434" s="12"/>
      <c r="C434" s="12"/>
      <c r="D434" s="5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100"/>
      <c r="B435" s="12"/>
      <c r="C435" s="12"/>
      <c r="D435" s="5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100"/>
      <c r="B436" s="12"/>
      <c r="C436" s="12"/>
      <c r="D436" s="5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100"/>
      <c r="B437" s="12"/>
      <c r="C437" s="12"/>
      <c r="D437" s="5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100"/>
      <c r="B438" s="12"/>
      <c r="C438" s="12"/>
      <c r="D438" s="5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100"/>
      <c r="B439" s="12"/>
      <c r="C439" s="12"/>
      <c r="D439" s="5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100"/>
      <c r="B440" s="12"/>
      <c r="C440" s="12"/>
      <c r="D440" s="5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100"/>
      <c r="B441" s="12"/>
      <c r="C441" s="12"/>
      <c r="D441" s="5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100"/>
      <c r="B442" s="12"/>
      <c r="C442" s="12"/>
      <c r="D442" s="5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100"/>
      <c r="B443" s="12"/>
      <c r="C443" s="12"/>
      <c r="D443" s="5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100"/>
      <c r="B444" s="12"/>
      <c r="C444" s="12"/>
      <c r="D444" s="5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100"/>
      <c r="B445" s="12"/>
      <c r="C445" s="12"/>
      <c r="D445" s="5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100"/>
      <c r="B446" s="12"/>
      <c r="C446" s="12"/>
      <c r="D446" s="5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100"/>
      <c r="B447" s="12"/>
      <c r="C447" s="12"/>
      <c r="D447" s="5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100"/>
      <c r="B448" s="12"/>
      <c r="C448" s="12"/>
      <c r="D448" s="5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100"/>
      <c r="B449" s="12"/>
      <c r="C449" s="12"/>
      <c r="D449" s="5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100"/>
      <c r="B450" s="12"/>
      <c r="C450" s="12"/>
      <c r="D450" s="5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100"/>
      <c r="B451" s="12"/>
      <c r="C451" s="12"/>
      <c r="D451" s="5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100"/>
      <c r="B452" s="12"/>
      <c r="C452" s="12"/>
      <c r="D452" s="5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100"/>
      <c r="B453" s="12"/>
      <c r="C453" s="12"/>
      <c r="D453" s="5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100"/>
      <c r="B454" s="12"/>
      <c r="C454" s="12"/>
      <c r="D454" s="5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100"/>
      <c r="B455" s="12"/>
      <c r="C455" s="12"/>
      <c r="D455" s="5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100"/>
      <c r="B456" s="12"/>
      <c r="C456" s="12"/>
      <c r="D456" s="5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100"/>
      <c r="B457" s="12"/>
      <c r="C457" s="12"/>
      <c r="D457" s="5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100"/>
      <c r="B458" s="12"/>
      <c r="C458" s="12"/>
      <c r="D458" s="5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100"/>
      <c r="B459" s="12"/>
      <c r="C459" s="12"/>
      <c r="D459" s="5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100"/>
      <c r="B460" s="12"/>
      <c r="C460" s="12"/>
      <c r="D460" s="5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100"/>
      <c r="B461" s="12"/>
      <c r="C461" s="12"/>
      <c r="D461" s="5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100"/>
      <c r="B462" s="12"/>
      <c r="C462" s="12"/>
      <c r="D462" s="5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100"/>
      <c r="B463" s="12"/>
      <c r="C463" s="12"/>
      <c r="D463" s="5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100"/>
      <c r="B464" s="12"/>
      <c r="C464" s="12"/>
      <c r="D464" s="5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100"/>
      <c r="B465" s="12"/>
      <c r="C465" s="12"/>
      <c r="D465" s="5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100"/>
      <c r="B466" s="12"/>
      <c r="C466" s="12"/>
      <c r="D466" s="5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100"/>
      <c r="B467" s="12"/>
      <c r="C467" s="12"/>
      <c r="D467" s="5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100"/>
      <c r="B468" s="12"/>
      <c r="C468" s="12"/>
      <c r="D468" s="5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100"/>
      <c r="B469" s="12"/>
      <c r="C469" s="12"/>
      <c r="D469" s="5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100"/>
      <c r="B470" s="12"/>
      <c r="C470" s="12"/>
      <c r="D470" s="5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100"/>
      <c r="B471" s="12"/>
      <c r="C471" s="12"/>
      <c r="D471" s="5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100"/>
      <c r="B472" s="12"/>
      <c r="C472" s="12"/>
      <c r="D472" s="5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100"/>
      <c r="B473" s="12"/>
      <c r="C473" s="12"/>
      <c r="D473" s="5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100"/>
      <c r="B474" s="12"/>
      <c r="C474" s="12"/>
      <c r="D474" s="5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100"/>
      <c r="B475" s="12"/>
      <c r="C475" s="12"/>
      <c r="D475" s="5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100"/>
      <c r="B476" s="12"/>
      <c r="C476" s="12"/>
      <c r="D476" s="5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100"/>
      <c r="B477" s="12"/>
      <c r="C477" s="12"/>
      <c r="D477" s="5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100"/>
      <c r="B478" s="12"/>
      <c r="C478" s="12"/>
      <c r="D478" s="5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100"/>
      <c r="B479" s="12"/>
      <c r="C479" s="12"/>
      <c r="D479" s="5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100"/>
      <c r="B480" s="12"/>
      <c r="C480" s="12"/>
      <c r="D480" s="5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100"/>
      <c r="B481" s="12"/>
      <c r="C481" s="12"/>
      <c r="D481" s="5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100"/>
      <c r="B482" s="12"/>
      <c r="C482" s="12"/>
      <c r="D482" s="5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100"/>
      <c r="B483" s="12"/>
      <c r="C483" s="12"/>
      <c r="D483" s="5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100"/>
      <c r="B484" s="12"/>
      <c r="C484" s="12"/>
      <c r="D484" s="5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100"/>
      <c r="B485" s="12"/>
      <c r="C485" s="12"/>
      <c r="D485" s="5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100"/>
      <c r="B486" s="12"/>
      <c r="C486" s="12"/>
      <c r="D486" s="5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100"/>
      <c r="B487" s="12"/>
      <c r="C487" s="12"/>
      <c r="D487" s="5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100"/>
      <c r="B488" s="12"/>
      <c r="C488" s="12"/>
      <c r="D488" s="5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100"/>
      <c r="B489" s="12"/>
      <c r="C489" s="12"/>
      <c r="D489" s="5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100"/>
      <c r="B490" s="12"/>
      <c r="C490" s="12"/>
      <c r="D490" s="5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100"/>
      <c r="B491" s="12"/>
      <c r="C491" s="12"/>
      <c r="D491" s="5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100"/>
      <c r="B492" s="12"/>
      <c r="C492" s="12"/>
      <c r="D492" s="5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100"/>
      <c r="B493" s="12"/>
      <c r="C493" s="12"/>
      <c r="D493" s="5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100"/>
      <c r="B494" s="12"/>
      <c r="C494" s="12"/>
      <c r="D494" s="5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100"/>
      <c r="B495" s="12"/>
      <c r="C495" s="12"/>
      <c r="D495" s="5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100"/>
      <c r="B496" s="12"/>
      <c r="C496" s="12"/>
      <c r="D496" s="5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100"/>
      <c r="B497" s="12"/>
      <c r="C497" s="12"/>
      <c r="D497" s="5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100"/>
      <c r="B498" s="12"/>
      <c r="C498" s="12"/>
      <c r="D498" s="5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100"/>
      <c r="B499" s="12"/>
      <c r="C499" s="12"/>
      <c r="D499" s="5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100"/>
      <c r="B500" s="12"/>
      <c r="C500" s="12"/>
      <c r="D500" s="5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100"/>
      <c r="B501" s="12"/>
      <c r="C501" s="12"/>
      <c r="D501" s="5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100"/>
      <c r="B502" s="12"/>
      <c r="C502" s="12"/>
      <c r="D502" s="5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100"/>
      <c r="B503" s="12"/>
      <c r="C503" s="12"/>
      <c r="D503" s="5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100"/>
      <c r="B504" s="12"/>
      <c r="C504" s="12"/>
      <c r="D504" s="5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100"/>
      <c r="B505" s="12"/>
      <c r="C505" s="12"/>
      <c r="D505" s="5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100"/>
      <c r="B506" s="12"/>
      <c r="C506" s="12"/>
      <c r="D506" s="5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100"/>
      <c r="B507" s="12"/>
      <c r="C507" s="12"/>
      <c r="D507" s="5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100"/>
      <c r="B508" s="12"/>
      <c r="C508" s="12"/>
      <c r="D508" s="5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100"/>
      <c r="B509" s="12"/>
      <c r="C509" s="12"/>
      <c r="D509" s="5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100"/>
      <c r="B510" s="12"/>
      <c r="C510" s="12"/>
      <c r="D510" s="5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100"/>
      <c r="B511" s="12"/>
      <c r="C511" s="12"/>
      <c r="D511" s="5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100"/>
      <c r="B512" s="12"/>
      <c r="C512" s="12"/>
      <c r="D512" s="5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100"/>
      <c r="B513" s="12"/>
      <c r="C513" s="12"/>
      <c r="D513" s="5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100"/>
      <c r="B514" s="12"/>
      <c r="C514" s="12"/>
      <c r="D514" s="5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100"/>
      <c r="B515" s="12"/>
      <c r="C515" s="12"/>
      <c r="D515" s="5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100"/>
      <c r="B516" s="12"/>
      <c r="C516" s="12"/>
      <c r="D516" s="5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100"/>
      <c r="B517" s="12"/>
      <c r="C517" s="12"/>
      <c r="D517" s="5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100"/>
      <c r="B518" s="12"/>
      <c r="C518" s="12"/>
      <c r="D518" s="5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100"/>
      <c r="B519" s="12"/>
      <c r="C519" s="12"/>
      <c r="D519" s="5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100"/>
      <c r="B520" s="12"/>
      <c r="C520" s="12"/>
      <c r="D520" s="5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100"/>
      <c r="B521" s="12"/>
      <c r="C521" s="12"/>
      <c r="D521" s="5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100"/>
      <c r="B522" s="12"/>
      <c r="C522" s="12"/>
      <c r="D522" s="5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100"/>
      <c r="B523" s="12"/>
      <c r="C523" s="12"/>
      <c r="D523" s="5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100"/>
      <c r="B524" s="12"/>
      <c r="C524" s="12"/>
      <c r="D524" s="5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100"/>
      <c r="B525" s="12"/>
      <c r="C525" s="12"/>
      <c r="D525" s="5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100"/>
      <c r="B526" s="12"/>
      <c r="C526" s="12"/>
      <c r="D526" s="5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100"/>
      <c r="B527" s="12"/>
      <c r="C527" s="12"/>
      <c r="D527" s="5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100"/>
      <c r="B528" s="12"/>
      <c r="C528" s="12"/>
      <c r="D528" s="5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100"/>
      <c r="B529" s="12"/>
      <c r="C529" s="12"/>
      <c r="D529" s="5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100"/>
      <c r="B530" s="12"/>
      <c r="C530" s="12"/>
      <c r="D530" s="5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100"/>
      <c r="B531" s="12"/>
      <c r="C531" s="12"/>
      <c r="D531" s="5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100"/>
      <c r="B532" s="12"/>
      <c r="C532" s="12"/>
      <c r="D532" s="5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100"/>
      <c r="B533" s="12"/>
      <c r="C533" s="12"/>
      <c r="D533" s="5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100"/>
      <c r="B534" s="12"/>
      <c r="C534" s="12"/>
      <c r="D534" s="5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100"/>
      <c r="B535" s="12"/>
      <c r="C535" s="12"/>
      <c r="D535" s="5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100"/>
      <c r="B536" s="12"/>
      <c r="C536" s="12"/>
      <c r="D536" s="5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100"/>
      <c r="B537" s="12"/>
      <c r="C537" s="12"/>
      <c r="D537" s="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100"/>
      <c r="B538" s="12"/>
      <c r="C538" s="12"/>
      <c r="D538" s="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100"/>
      <c r="B539" s="12"/>
      <c r="C539" s="12"/>
      <c r="D539" s="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100"/>
      <c r="B540" s="12"/>
      <c r="C540" s="12"/>
      <c r="D540" s="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100"/>
      <c r="B541" s="12"/>
      <c r="C541" s="12"/>
      <c r="D541" s="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100"/>
      <c r="B542" s="12"/>
      <c r="C542" s="12"/>
      <c r="D542" s="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100"/>
      <c r="B543" s="12"/>
      <c r="C543" s="12"/>
      <c r="D543" s="5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100"/>
      <c r="B544" s="12"/>
      <c r="C544" s="12"/>
      <c r="D544" s="5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100"/>
      <c r="B545" s="12"/>
      <c r="C545" s="12"/>
      <c r="D545" s="5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100"/>
      <c r="B546" s="12"/>
      <c r="C546" s="12"/>
      <c r="D546" s="5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100"/>
      <c r="B547" s="12"/>
      <c r="C547" s="12"/>
      <c r="D547" s="5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100"/>
      <c r="B548" s="12"/>
      <c r="C548" s="12"/>
      <c r="D548" s="5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100"/>
      <c r="B549" s="12"/>
      <c r="C549" s="12"/>
      <c r="D549" s="5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100"/>
      <c r="B550" s="12"/>
      <c r="C550" s="12"/>
      <c r="D550" s="5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100"/>
      <c r="B551" s="12"/>
      <c r="C551" s="12"/>
      <c r="D551" s="5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100"/>
      <c r="B552" s="12"/>
      <c r="C552" s="12"/>
      <c r="D552" s="5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100"/>
      <c r="B553" s="12"/>
      <c r="C553" s="12"/>
      <c r="D553" s="5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100"/>
      <c r="B554" s="12"/>
      <c r="C554" s="12"/>
      <c r="D554" s="5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100"/>
      <c r="B555" s="12"/>
      <c r="C555" s="12"/>
      <c r="D555" s="5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100"/>
      <c r="B556" s="12"/>
      <c r="C556" s="12"/>
      <c r="D556" s="5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100"/>
      <c r="B557" s="12"/>
      <c r="C557" s="12"/>
      <c r="D557" s="5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100"/>
      <c r="B558" s="12"/>
      <c r="C558" s="12"/>
      <c r="D558" s="5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100"/>
      <c r="B559" s="12"/>
      <c r="C559" s="12"/>
      <c r="D559" s="5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100"/>
      <c r="B560" s="12"/>
      <c r="C560" s="12"/>
      <c r="D560" s="5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100"/>
      <c r="B561" s="12"/>
      <c r="C561" s="12"/>
      <c r="D561" s="5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100"/>
      <c r="B562" s="12"/>
      <c r="C562" s="12"/>
      <c r="D562" s="5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100"/>
      <c r="B563" s="12"/>
      <c r="C563" s="12"/>
      <c r="D563" s="5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100"/>
      <c r="B564" s="12"/>
      <c r="C564" s="12"/>
      <c r="D564" s="5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100"/>
      <c r="B565" s="12"/>
      <c r="C565" s="12"/>
      <c r="D565" s="5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100"/>
      <c r="B566" s="12"/>
      <c r="C566" s="12"/>
      <c r="D566" s="5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100"/>
      <c r="B567" s="12"/>
      <c r="C567" s="12"/>
      <c r="D567" s="5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100"/>
      <c r="B568" s="12"/>
      <c r="C568" s="12"/>
      <c r="D568" s="5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100"/>
      <c r="B569" s="12"/>
      <c r="C569" s="12"/>
      <c r="D569" s="5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100"/>
      <c r="B570" s="12"/>
      <c r="C570" s="12"/>
      <c r="D570" s="5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100"/>
      <c r="B571" s="12"/>
      <c r="C571" s="12"/>
      <c r="D571" s="5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100"/>
      <c r="B572" s="12"/>
      <c r="C572" s="12"/>
      <c r="D572" s="5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100"/>
      <c r="B573" s="12"/>
      <c r="C573" s="12"/>
      <c r="D573" s="5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100"/>
      <c r="B574" s="12"/>
      <c r="C574" s="12"/>
      <c r="D574" s="5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100"/>
      <c r="B575" s="12"/>
      <c r="C575" s="12"/>
      <c r="D575" s="5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100"/>
      <c r="B576" s="12"/>
      <c r="C576" s="12"/>
      <c r="D576" s="5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100"/>
      <c r="B577" s="12"/>
      <c r="C577" s="12"/>
      <c r="D577" s="5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100"/>
      <c r="B578" s="12"/>
      <c r="C578" s="12"/>
      <c r="D578" s="5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100"/>
      <c r="B579" s="12"/>
      <c r="C579" s="12"/>
      <c r="D579" s="5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100"/>
      <c r="B580" s="12"/>
      <c r="C580" s="12"/>
      <c r="D580" s="5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100"/>
      <c r="B581" s="12"/>
      <c r="C581" s="12"/>
      <c r="D581" s="5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100"/>
      <c r="B582" s="12"/>
      <c r="C582" s="12"/>
      <c r="D582" s="5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100"/>
      <c r="B583" s="12"/>
      <c r="C583" s="12"/>
      <c r="D583" s="5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100"/>
      <c r="B584" s="12"/>
      <c r="C584" s="12"/>
      <c r="D584" s="5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100"/>
      <c r="B585" s="12"/>
      <c r="C585" s="12"/>
      <c r="D585" s="5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100"/>
      <c r="B586" s="12"/>
      <c r="C586" s="12"/>
      <c r="D586" s="5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100"/>
      <c r="B587" s="12"/>
      <c r="C587" s="12"/>
      <c r="D587" s="5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100"/>
      <c r="B588" s="12"/>
      <c r="C588" s="12"/>
      <c r="D588" s="5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100"/>
      <c r="B589" s="12"/>
      <c r="C589" s="12"/>
      <c r="D589" s="5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100"/>
      <c r="B590" s="12"/>
      <c r="C590" s="12"/>
      <c r="D590" s="5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100"/>
      <c r="B591" s="12"/>
      <c r="C591" s="12"/>
      <c r="D591" s="5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100"/>
      <c r="B592" s="12"/>
      <c r="C592" s="12"/>
      <c r="D592" s="5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100"/>
      <c r="B593" s="12"/>
      <c r="C593" s="12"/>
      <c r="D593" s="5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100"/>
      <c r="B594" s="12"/>
      <c r="C594" s="12"/>
      <c r="D594" s="5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100"/>
      <c r="B595" s="12"/>
      <c r="C595" s="12"/>
      <c r="D595" s="5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100"/>
      <c r="B596" s="12"/>
      <c r="C596" s="12"/>
      <c r="D596" s="5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100"/>
      <c r="B597" s="12"/>
      <c r="C597" s="12"/>
      <c r="D597" s="5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100"/>
      <c r="B598" s="12"/>
      <c r="C598" s="12"/>
      <c r="D598" s="5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100"/>
      <c r="B599" s="12"/>
      <c r="C599" s="12"/>
      <c r="D599" s="5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100"/>
      <c r="B600" s="12"/>
      <c r="C600" s="12"/>
      <c r="D600" s="5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100"/>
      <c r="B601" s="12"/>
      <c r="C601" s="12"/>
      <c r="D601" s="5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100"/>
      <c r="B602" s="12"/>
      <c r="C602" s="12"/>
      <c r="D602" s="5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100"/>
      <c r="B603" s="12"/>
      <c r="C603" s="12"/>
      <c r="D603" s="5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100"/>
      <c r="B604" s="12"/>
      <c r="C604" s="12"/>
      <c r="D604" s="5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100"/>
      <c r="B605" s="12"/>
      <c r="C605" s="12"/>
      <c r="D605" s="5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100"/>
      <c r="B606" s="12"/>
      <c r="C606" s="12"/>
      <c r="D606" s="5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100"/>
      <c r="B607" s="12"/>
      <c r="C607" s="12"/>
      <c r="D607" s="5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100"/>
      <c r="B608" s="12"/>
      <c r="C608" s="12"/>
      <c r="D608" s="5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100"/>
      <c r="B609" s="12"/>
      <c r="C609" s="12"/>
      <c r="D609" s="5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100"/>
      <c r="B610" s="12"/>
      <c r="C610" s="12"/>
      <c r="D610" s="5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100"/>
      <c r="B611" s="12"/>
      <c r="C611" s="12"/>
      <c r="D611" s="5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100"/>
      <c r="B612" s="12"/>
      <c r="C612" s="12"/>
      <c r="D612" s="5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100"/>
      <c r="B613" s="12"/>
      <c r="C613" s="12"/>
      <c r="D613" s="5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100"/>
      <c r="B614" s="12"/>
      <c r="C614" s="12"/>
      <c r="D614" s="5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100"/>
      <c r="B615" s="12"/>
      <c r="C615" s="12"/>
      <c r="D615" s="5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100"/>
      <c r="B616" s="12"/>
      <c r="C616" s="12"/>
      <c r="D616" s="5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100"/>
      <c r="B617" s="12"/>
      <c r="C617" s="12"/>
      <c r="D617" s="5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100"/>
      <c r="B618" s="12"/>
      <c r="C618" s="12"/>
      <c r="D618" s="5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100"/>
      <c r="B619" s="12"/>
      <c r="C619" s="12"/>
      <c r="D619" s="5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100"/>
      <c r="B620" s="12"/>
      <c r="C620" s="12"/>
      <c r="D620" s="5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100"/>
      <c r="B621" s="12"/>
      <c r="C621" s="12"/>
      <c r="D621" s="5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100"/>
      <c r="B622" s="12"/>
      <c r="C622" s="12"/>
      <c r="D622" s="5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100"/>
      <c r="B623" s="12"/>
      <c r="C623" s="12"/>
      <c r="D623" s="5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100"/>
      <c r="B624" s="12"/>
      <c r="C624" s="12"/>
      <c r="D624" s="5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100"/>
      <c r="B625" s="12"/>
      <c r="C625" s="12"/>
      <c r="D625" s="5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100"/>
      <c r="B626" s="12"/>
      <c r="C626" s="12"/>
      <c r="D626" s="5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100"/>
      <c r="B627" s="12"/>
      <c r="C627" s="12"/>
      <c r="D627" s="5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100"/>
      <c r="B628" s="12"/>
      <c r="C628" s="12"/>
      <c r="D628" s="5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100"/>
      <c r="B629" s="12"/>
      <c r="C629" s="12"/>
      <c r="D629" s="5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100"/>
      <c r="B630" s="12"/>
      <c r="C630" s="12"/>
      <c r="D630" s="5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100"/>
      <c r="B631" s="12"/>
      <c r="C631" s="12"/>
      <c r="D631" s="5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100"/>
      <c r="B632" s="12"/>
      <c r="C632" s="12"/>
      <c r="D632" s="5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100"/>
      <c r="B633" s="12"/>
      <c r="C633" s="12"/>
      <c r="D633" s="5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100"/>
      <c r="B634" s="12"/>
      <c r="C634" s="12"/>
      <c r="D634" s="5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100"/>
      <c r="B635" s="12"/>
      <c r="C635" s="12"/>
      <c r="D635" s="5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100"/>
      <c r="B636" s="12"/>
      <c r="C636" s="12"/>
      <c r="D636" s="5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100"/>
      <c r="B637" s="12"/>
      <c r="C637" s="12"/>
      <c r="D637" s="5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100"/>
      <c r="B638" s="12"/>
      <c r="C638" s="12"/>
      <c r="D638" s="5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100"/>
      <c r="B639" s="12"/>
      <c r="C639" s="12"/>
      <c r="D639" s="5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100"/>
      <c r="B640" s="12"/>
      <c r="C640" s="12"/>
      <c r="D640" s="5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100"/>
      <c r="B641" s="12"/>
      <c r="C641" s="12"/>
      <c r="D641" s="5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100"/>
      <c r="B642" s="12"/>
      <c r="C642" s="12"/>
      <c r="D642" s="5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100"/>
      <c r="B643" s="12"/>
      <c r="C643" s="12"/>
      <c r="D643" s="5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100"/>
      <c r="B644" s="12"/>
      <c r="C644" s="12"/>
      <c r="D644" s="5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100"/>
      <c r="B645" s="12"/>
      <c r="C645" s="12"/>
      <c r="D645" s="5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100"/>
      <c r="B646" s="12"/>
      <c r="C646" s="12"/>
      <c r="D646" s="5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100"/>
      <c r="B647" s="12"/>
      <c r="C647" s="12"/>
      <c r="D647" s="5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100"/>
      <c r="B648" s="12"/>
      <c r="C648" s="12"/>
      <c r="D648" s="5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100"/>
      <c r="B649" s="12"/>
      <c r="C649" s="12"/>
      <c r="D649" s="5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100"/>
      <c r="B650" s="12"/>
      <c r="C650" s="12"/>
      <c r="D650" s="5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100"/>
      <c r="B651" s="12"/>
      <c r="C651" s="12"/>
      <c r="D651" s="5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100"/>
      <c r="B652" s="12"/>
      <c r="C652" s="12"/>
      <c r="D652" s="5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100"/>
      <c r="B653" s="12"/>
      <c r="C653" s="12"/>
      <c r="D653" s="5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100"/>
      <c r="B654" s="12"/>
      <c r="C654" s="12"/>
      <c r="D654" s="5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100"/>
      <c r="B655" s="12"/>
      <c r="C655" s="12"/>
      <c r="D655" s="5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100"/>
      <c r="B656" s="12"/>
      <c r="C656" s="12"/>
      <c r="D656" s="5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100"/>
      <c r="B657" s="12"/>
      <c r="C657" s="12"/>
      <c r="D657" s="5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100"/>
      <c r="B658" s="12"/>
      <c r="C658" s="12"/>
      <c r="D658" s="5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100"/>
      <c r="B659" s="12"/>
      <c r="C659" s="12"/>
      <c r="D659" s="5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100"/>
      <c r="B660" s="12"/>
      <c r="C660" s="12"/>
      <c r="D660" s="5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100"/>
      <c r="B661" s="12"/>
      <c r="C661" s="12"/>
      <c r="D661" s="5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100"/>
      <c r="B662" s="12"/>
      <c r="C662" s="12"/>
      <c r="D662" s="5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100"/>
      <c r="B663" s="12"/>
      <c r="C663" s="12"/>
      <c r="D663" s="5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100"/>
      <c r="B664" s="12"/>
      <c r="C664" s="12"/>
      <c r="D664" s="5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100"/>
      <c r="B665" s="12"/>
      <c r="C665" s="12"/>
      <c r="D665" s="5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100"/>
      <c r="B666" s="12"/>
      <c r="C666" s="12"/>
      <c r="D666" s="5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100"/>
      <c r="B667" s="12"/>
      <c r="C667" s="12"/>
      <c r="D667" s="5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100"/>
      <c r="B668" s="12"/>
      <c r="C668" s="12"/>
      <c r="D668" s="5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100"/>
      <c r="B669" s="12"/>
      <c r="C669" s="12"/>
      <c r="D669" s="5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100"/>
      <c r="B670" s="12"/>
      <c r="C670" s="12"/>
      <c r="D670" s="5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100"/>
      <c r="B671" s="12"/>
      <c r="C671" s="12"/>
      <c r="D671" s="5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100"/>
      <c r="B672" s="12"/>
      <c r="C672" s="12"/>
      <c r="D672" s="5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100"/>
      <c r="B673" s="12"/>
      <c r="C673" s="12"/>
      <c r="D673" s="5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100"/>
      <c r="B674" s="12"/>
      <c r="C674" s="12"/>
      <c r="D674" s="5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100"/>
      <c r="B675" s="12"/>
      <c r="C675" s="12"/>
      <c r="D675" s="5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100"/>
      <c r="B676" s="12"/>
      <c r="C676" s="12"/>
      <c r="D676" s="5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100"/>
      <c r="B677" s="12"/>
      <c r="C677" s="12"/>
      <c r="D677" s="5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100"/>
      <c r="B678" s="12"/>
      <c r="C678" s="12"/>
      <c r="D678" s="5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100"/>
      <c r="B679" s="12"/>
      <c r="C679" s="12"/>
      <c r="D679" s="5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100"/>
      <c r="B680" s="12"/>
      <c r="C680" s="12"/>
      <c r="D680" s="5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100"/>
      <c r="B681" s="12"/>
      <c r="C681" s="12"/>
      <c r="D681" s="5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100"/>
      <c r="B682" s="12"/>
      <c r="C682" s="12"/>
      <c r="D682" s="5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100"/>
      <c r="B683" s="12"/>
      <c r="C683" s="12"/>
      <c r="D683" s="5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100"/>
      <c r="B684" s="12"/>
      <c r="C684" s="12"/>
      <c r="D684" s="5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100"/>
      <c r="B685" s="12"/>
      <c r="C685" s="12"/>
      <c r="D685" s="5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100"/>
      <c r="B686" s="12"/>
      <c r="C686" s="12"/>
      <c r="D686" s="5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100"/>
      <c r="B687" s="12"/>
      <c r="C687" s="12"/>
      <c r="D687" s="5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100"/>
      <c r="B688" s="12"/>
      <c r="C688" s="12"/>
      <c r="D688" s="5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100"/>
      <c r="B689" s="12"/>
      <c r="C689" s="12"/>
      <c r="D689" s="5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100"/>
      <c r="B690" s="12"/>
      <c r="C690" s="12"/>
      <c r="D690" s="5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100"/>
      <c r="B691" s="12"/>
      <c r="C691" s="12"/>
      <c r="D691" s="5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100"/>
      <c r="B692" s="12"/>
      <c r="C692" s="12"/>
      <c r="D692" s="5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100"/>
      <c r="B693" s="12"/>
      <c r="C693" s="12"/>
      <c r="D693" s="5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100"/>
      <c r="B694" s="12"/>
      <c r="C694" s="12"/>
      <c r="D694" s="5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100"/>
      <c r="B695" s="12"/>
      <c r="C695" s="12"/>
      <c r="D695" s="5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100"/>
      <c r="B696" s="12"/>
      <c r="C696" s="12"/>
      <c r="D696" s="5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100"/>
      <c r="B697" s="12"/>
      <c r="C697" s="12"/>
      <c r="D697" s="5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100"/>
      <c r="B698" s="12"/>
      <c r="C698" s="12"/>
      <c r="D698" s="5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100"/>
      <c r="B699" s="12"/>
      <c r="C699" s="12"/>
      <c r="D699" s="5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100"/>
      <c r="B700" s="12"/>
      <c r="C700" s="12"/>
      <c r="D700" s="5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100"/>
      <c r="B701" s="12"/>
      <c r="C701" s="12"/>
      <c r="D701" s="5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100"/>
      <c r="B702" s="12"/>
      <c r="C702" s="12"/>
      <c r="D702" s="5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100"/>
      <c r="B703" s="12"/>
      <c r="C703" s="12"/>
      <c r="D703" s="5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100"/>
      <c r="B704" s="12"/>
      <c r="C704" s="12"/>
      <c r="D704" s="5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100"/>
      <c r="B705" s="12"/>
      <c r="C705" s="12"/>
      <c r="D705" s="5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100"/>
      <c r="B706" s="12"/>
      <c r="C706" s="12"/>
      <c r="D706" s="5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100"/>
      <c r="B707" s="12"/>
      <c r="C707" s="12"/>
      <c r="D707" s="5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100"/>
      <c r="B708" s="12"/>
      <c r="C708" s="12"/>
      <c r="D708" s="5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100"/>
      <c r="B709" s="12"/>
      <c r="C709" s="12"/>
      <c r="D709" s="5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100"/>
      <c r="B710" s="12"/>
      <c r="C710" s="12"/>
      <c r="D710" s="5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100"/>
      <c r="B711" s="12"/>
      <c r="C711" s="12"/>
      <c r="D711" s="5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100"/>
      <c r="B712" s="12"/>
      <c r="C712" s="12"/>
      <c r="D712" s="5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100"/>
      <c r="B713" s="12"/>
      <c r="C713" s="12"/>
      <c r="D713" s="5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100"/>
      <c r="B714" s="12"/>
      <c r="C714" s="12"/>
      <c r="D714" s="5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100"/>
      <c r="B715" s="12"/>
      <c r="C715" s="12"/>
      <c r="D715" s="5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100"/>
      <c r="B716" s="12"/>
      <c r="C716" s="12"/>
      <c r="D716" s="5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100"/>
      <c r="B717" s="12"/>
      <c r="C717" s="12"/>
      <c r="D717" s="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100"/>
      <c r="B718" s="12"/>
      <c r="C718" s="12"/>
      <c r="D718" s="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100"/>
      <c r="B719" s="12"/>
      <c r="C719" s="12"/>
      <c r="D719" s="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100"/>
      <c r="B720" s="12"/>
      <c r="C720" s="12"/>
      <c r="D720" s="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100"/>
      <c r="B721" s="12"/>
      <c r="C721" s="12"/>
      <c r="D721" s="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100"/>
      <c r="B722" s="12"/>
      <c r="C722" s="12"/>
      <c r="D722" s="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100"/>
      <c r="B723" s="12"/>
      <c r="C723" s="12"/>
      <c r="D723" s="5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100"/>
      <c r="B724" s="12"/>
      <c r="C724" s="12"/>
      <c r="D724" s="5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100"/>
      <c r="B725" s="12"/>
      <c r="C725" s="12"/>
      <c r="D725" s="5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100"/>
      <c r="B726" s="12"/>
      <c r="C726" s="12"/>
      <c r="D726" s="5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100"/>
      <c r="B727" s="12"/>
      <c r="C727" s="12"/>
      <c r="D727" s="5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100"/>
      <c r="B728" s="12"/>
      <c r="C728" s="12"/>
      <c r="D728" s="5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100"/>
      <c r="B729" s="12"/>
      <c r="C729" s="12"/>
      <c r="D729" s="5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100"/>
      <c r="B730" s="12"/>
      <c r="C730" s="12"/>
      <c r="D730" s="5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100"/>
      <c r="B731" s="12"/>
      <c r="C731" s="12"/>
      <c r="D731" s="5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100"/>
      <c r="B732" s="12"/>
      <c r="C732" s="12"/>
      <c r="D732" s="5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100"/>
      <c r="B733" s="12"/>
      <c r="C733" s="12"/>
      <c r="D733" s="5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100"/>
      <c r="B734" s="12"/>
      <c r="C734" s="12"/>
      <c r="D734" s="5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100"/>
      <c r="B735" s="12"/>
      <c r="C735" s="12"/>
      <c r="D735" s="5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100"/>
      <c r="B736" s="12"/>
      <c r="C736" s="12"/>
      <c r="D736" s="5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100"/>
      <c r="B737" s="12"/>
      <c r="C737" s="12"/>
      <c r="D737" s="5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100"/>
      <c r="B738" s="12"/>
      <c r="C738" s="12"/>
      <c r="D738" s="5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100"/>
      <c r="B739" s="12"/>
      <c r="C739" s="12"/>
      <c r="D739" s="5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100"/>
      <c r="B740" s="12"/>
      <c r="C740" s="12"/>
      <c r="D740" s="5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100"/>
      <c r="B741" s="12"/>
      <c r="C741" s="12"/>
      <c r="D741" s="5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100"/>
      <c r="B742" s="12"/>
      <c r="C742" s="12"/>
      <c r="D742" s="5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100"/>
      <c r="B743" s="12"/>
      <c r="C743" s="12"/>
      <c r="D743" s="5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100"/>
      <c r="B744" s="12"/>
      <c r="C744" s="12"/>
      <c r="D744" s="5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100"/>
      <c r="B745" s="12"/>
      <c r="C745" s="12"/>
      <c r="D745" s="5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100"/>
      <c r="B746" s="12"/>
      <c r="C746" s="12"/>
      <c r="D746" s="5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100"/>
      <c r="B747" s="12"/>
      <c r="C747" s="12"/>
      <c r="D747" s="5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100"/>
      <c r="B748" s="12"/>
      <c r="C748" s="12"/>
      <c r="D748" s="5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100"/>
      <c r="B749" s="12"/>
      <c r="C749" s="12"/>
      <c r="D749" s="5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100"/>
      <c r="B750" s="12"/>
      <c r="C750" s="12"/>
      <c r="D750" s="5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100"/>
      <c r="B751" s="12"/>
      <c r="C751" s="12"/>
      <c r="D751" s="5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100"/>
      <c r="B752" s="12"/>
      <c r="C752" s="12"/>
      <c r="D752" s="5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100"/>
      <c r="B753" s="12"/>
      <c r="C753" s="12"/>
      <c r="D753" s="5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100"/>
      <c r="B754" s="12"/>
      <c r="C754" s="12"/>
      <c r="D754" s="5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100"/>
      <c r="B755" s="12"/>
      <c r="C755" s="12"/>
      <c r="D755" s="5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100"/>
      <c r="B756" s="12"/>
      <c r="C756" s="12"/>
      <c r="D756" s="5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100"/>
      <c r="B757" s="12"/>
      <c r="C757" s="12"/>
      <c r="D757" s="5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100"/>
      <c r="B758" s="12"/>
      <c r="C758" s="12"/>
      <c r="D758" s="5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100"/>
      <c r="B759" s="12"/>
      <c r="C759" s="12"/>
      <c r="D759" s="5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100"/>
      <c r="B760" s="12"/>
      <c r="C760" s="12"/>
      <c r="D760" s="5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100"/>
      <c r="B761" s="12"/>
      <c r="C761" s="12"/>
      <c r="D761" s="5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100"/>
      <c r="B762" s="12"/>
      <c r="C762" s="12"/>
      <c r="D762" s="5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100"/>
      <c r="B763" s="12"/>
      <c r="C763" s="12"/>
      <c r="D763" s="5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100"/>
      <c r="B764" s="12"/>
      <c r="C764" s="12"/>
      <c r="D764" s="5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100"/>
      <c r="B765" s="12"/>
      <c r="C765" s="12"/>
      <c r="D765" s="5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100"/>
      <c r="B766" s="12"/>
      <c r="C766" s="12"/>
      <c r="D766" s="5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100"/>
      <c r="B767" s="12"/>
      <c r="C767" s="12"/>
      <c r="D767" s="5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100"/>
      <c r="B768" s="12"/>
      <c r="C768" s="12"/>
      <c r="D768" s="5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100"/>
      <c r="B769" s="12"/>
      <c r="C769" s="12"/>
      <c r="D769" s="5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100"/>
      <c r="B770" s="12"/>
      <c r="C770" s="12"/>
      <c r="D770" s="5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100"/>
      <c r="B771" s="12"/>
      <c r="C771" s="12"/>
      <c r="D771" s="5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100"/>
      <c r="B772" s="12"/>
      <c r="C772" s="12"/>
      <c r="D772" s="5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100"/>
      <c r="B773" s="12"/>
      <c r="C773" s="12"/>
      <c r="D773" s="5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100"/>
      <c r="B774" s="12"/>
      <c r="C774" s="12"/>
      <c r="D774" s="5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100"/>
      <c r="B775" s="12"/>
      <c r="C775" s="12"/>
      <c r="D775" s="5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100"/>
      <c r="B776" s="12"/>
      <c r="C776" s="12"/>
      <c r="D776" s="5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100"/>
      <c r="B777" s="12"/>
      <c r="C777" s="12"/>
      <c r="D777" s="5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100"/>
      <c r="B778" s="12"/>
      <c r="C778" s="12"/>
      <c r="D778" s="5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100"/>
      <c r="B779" s="12"/>
      <c r="C779" s="12"/>
      <c r="D779" s="5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100"/>
      <c r="B780" s="12"/>
      <c r="C780" s="12"/>
      <c r="D780" s="5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100"/>
      <c r="B781" s="12"/>
      <c r="C781" s="12"/>
      <c r="D781" s="5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100"/>
      <c r="B782" s="12"/>
      <c r="C782" s="12"/>
      <c r="D782" s="5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100"/>
      <c r="B783" s="12"/>
      <c r="C783" s="12"/>
      <c r="D783" s="5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100"/>
      <c r="B784" s="12"/>
      <c r="C784" s="12"/>
      <c r="D784" s="5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100"/>
      <c r="B785" s="12"/>
      <c r="C785" s="12"/>
      <c r="D785" s="5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100"/>
      <c r="B786" s="12"/>
      <c r="C786" s="12"/>
      <c r="D786" s="5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100"/>
      <c r="B787" s="12"/>
      <c r="C787" s="12"/>
      <c r="D787" s="5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100"/>
      <c r="B788" s="12"/>
      <c r="C788" s="12"/>
      <c r="D788" s="5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100"/>
      <c r="B789" s="12"/>
      <c r="C789" s="12"/>
      <c r="D789" s="5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100"/>
      <c r="B790" s="12"/>
      <c r="C790" s="12"/>
      <c r="D790" s="5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100"/>
      <c r="B791" s="12"/>
      <c r="C791" s="12"/>
      <c r="D791" s="5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100"/>
      <c r="B792" s="12"/>
      <c r="C792" s="12"/>
      <c r="D792" s="5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100"/>
      <c r="B793" s="12"/>
      <c r="C793" s="12"/>
      <c r="D793" s="5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100"/>
      <c r="B794" s="12"/>
      <c r="C794" s="12"/>
      <c r="D794" s="5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100"/>
      <c r="B795" s="12"/>
      <c r="C795" s="12"/>
      <c r="D795" s="5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100"/>
      <c r="B796" s="12"/>
      <c r="C796" s="12"/>
      <c r="D796" s="5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100"/>
      <c r="B797" s="12"/>
      <c r="C797" s="12"/>
      <c r="D797" s="5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100"/>
      <c r="B798" s="12"/>
      <c r="C798" s="12"/>
      <c r="D798" s="5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100"/>
      <c r="B799" s="12"/>
      <c r="C799" s="12"/>
      <c r="D799" s="5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100"/>
      <c r="B800" s="12"/>
      <c r="C800" s="12"/>
      <c r="D800" s="5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100"/>
      <c r="B801" s="12"/>
      <c r="C801" s="12"/>
      <c r="D801" s="5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100"/>
      <c r="B802" s="12"/>
      <c r="C802" s="12"/>
      <c r="D802" s="5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100"/>
      <c r="B803" s="12"/>
      <c r="C803" s="12"/>
      <c r="D803" s="5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100"/>
      <c r="B804" s="12"/>
      <c r="C804" s="12"/>
      <c r="D804" s="5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100"/>
      <c r="B805" s="12"/>
      <c r="C805" s="12"/>
      <c r="D805" s="5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100"/>
      <c r="B806" s="12"/>
      <c r="C806" s="12"/>
      <c r="D806" s="5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100"/>
      <c r="B807" s="12"/>
      <c r="C807" s="12"/>
      <c r="D807" s="5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100"/>
      <c r="B808" s="12"/>
      <c r="C808" s="12"/>
      <c r="D808" s="5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100"/>
      <c r="B809" s="12"/>
      <c r="C809" s="12"/>
      <c r="D809" s="5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100"/>
      <c r="B810" s="12"/>
      <c r="C810" s="12"/>
      <c r="D810" s="5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100"/>
      <c r="B811" s="12"/>
      <c r="C811" s="12"/>
      <c r="D811" s="5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100"/>
      <c r="B812" s="12"/>
      <c r="C812" s="12"/>
      <c r="D812" s="5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100"/>
      <c r="B813" s="12"/>
      <c r="C813" s="12"/>
      <c r="D813" s="5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100"/>
      <c r="B814" s="12"/>
      <c r="C814" s="12"/>
      <c r="D814" s="5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100"/>
      <c r="B815" s="12"/>
      <c r="C815" s="12"/>
      <c r="D815" s="5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100"/>
      <c r="B816" s="12"/>
      <c r="C816" s="12"/>
      <c r="D816" s="5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100"/>
      <c r="B817" s="12"/>
      <c r="C817" s="12"/>
      <c r="D817" s="5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100"/>
      <c r="B818" s="12"/>
      <c r="C818" s="12"/>
      <c r="D818" s="5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100"/>
      <c r="B819" s="12"/>
      <c r="C819" s="12"/>
      <c r="D819" s="5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100"/>
      <c r="B820" s="12"/>
      <c r="C820" s="12"/>
      <c r="D820" s="5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100"/>
      <c r="B821" s="12"/>
      <c r="C821" s="12"/>
      <c r="D821" s="5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100"/>
      <c r="B822" s="12"/>
      <c r="C822" s="12"/>
      <c r="D822" s="5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100"/>
      <c r="B823" s="12"/>
      <c r="C823" s="12"/>
      <c r="D823" s="5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100"/>
      <c r="B824" s="12"/>
      <c r="C824" s="12"/>
      <c r="D824" s="5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100"/>
      <c r="B825" s="12"/>
      <c r="C825" s="12"/>
      <c r="D825" s="5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100"/>
      <c r="B826" s="12"/>
      <c r="C826" s="12"/>
      <c r="D826" s="5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100"/>
      <c r="B827" s="12"/>
      <c r="C827" s="12"/>
      <c r="D827" s="5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100"/>
      <c r="B828" s="12"/>
      <c r="C828" s="12"/>
      <c r="D828" s="5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100"/>
      <c r="B829" s="12"/>
      <c r="C829" s="12"/>
      <c r="D829" s="5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100"/>
      <c r="B830" s="12"/>
      <c r="C830" s="12"/>
      <c r="D830" s="5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100"/>
      <c r="B831" s="12"/>
      <c r="C831" s="12"/>
      <c r="D831" s="5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100"/>
      <c r="B832" s="12"/>
      <c r="C832" s="12"/>
      <c r="D832" s="5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100"/>
      <c r="B833" s="12"/>
      <c r="C833" s="12"/>
      <c r="D833" s="5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100"/>
      <c r="B834" s="12"/>
      <c r="C834" s="12"/>
      <c r="D834" s="5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100"/>
      <c r="B835" s="12"/>
      <c r="C835" s="12"/>
      <c r="D835" s="5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100"/>
      <c r="B836" s="12"/>
      <c r="C836" s="12"/>
      <c r="D836" s="5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100"/>
      <c r="B837" s="12"/>
      <c r="C837" s="12"/>
      <c r="D837" s="5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100"/>
      <c r="B838" s="12"/>
      <c r="C838" s="12"/>
      <c r="D838" s="5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100"/>
      <c r="B839" s="12"/>
      <c r="C839" s="12"/>
      <c r="D839" s="5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100"/>
      <c r="B840" s="12"/>
      <c r="C840" s="12"/>
      <c r="D840" s="5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100"/>
      <c r="B841" s="12"/>
      <c r="C841" s="12"/>
      <c r="D841" s="5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100"/>
      <c r="B842" s="12"/>
      <c r="C842" s="12"/>
      <c r="D842" s="5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100"/>
      <c r="B843" s="12"/>
      <c r="C843" s="12"/>
      <c r="D843" s="5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100"/>
      <c r="B844" s="12"/>
      <c r="C844" s="12"/>
      <c r="D844" s="5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100"/>
      <c r="B845" s="12"/>
      <c r="C845" s="12"/>
      <c r="D845" s="5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100"/>
      <c r="B846" s="12"/>
      <c r="C846" s="12"/>
      <c r="D846" s="5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100"/>
      <c r="B847" s="12"/>
      <c r="C847" s="12"/>
      <c r="D847" s="5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100"/>
      <c r="B848" s="12"/>
      <c r="C848" s="12"/>
      <c r="D848" s="5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100"/>
      <c r="B849" s="12"/>
      <c r="C849" s="12"/>
      <c r="D849" s="5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100"/>
      <c r="B850" s="12"/>
      <c r="C850" s="12"/>
      <c r="D850" s="5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100"/>
      <c r="B851" s="12"/>
      <c r="C851" s="12"/>
      <c r="D851" s="5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100"/>
      <c r="B852" s="12"/>
      <c r="C852" s="12"/>
      <c r="D852" s="5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100"/>
      <c r="B853" s="12"/>
      <c r="C853" s="12"/>
      <c r="D853" s="5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100"/>
      <c r="B854" s="12"/>
      <c r="C854" s="12"/>
      <c r="D854" s="5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100"/>
      <c r="B855" s="12"/>
      <c r="C855" s="12"/>
      <c r="D855" s="5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100"/>
      <c r="B856" s="12"/>
      <c r="C856" s="12"/>
      <c r="D856" s="5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100"/>
      <c r="B857" s="12"/>
      <c r="C857" s="12"/>
      <c r="D857" s="5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100"/>
      <c r="B858" s="12"/>
      <c r="C858" s="12"/>
      <c r="D858" s="5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100"/>
      <c r="B859" s="12"/>
      <c r="C859" s="12"/>
      <c r="D859" s="5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100"/>
      <c r="B860" s="12"/>
      <c r="C860" s="12"/>
      <c r="D860" s="5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100"/>
      <c r="B861" s="12"/>
      <c r="C861" s="12"/>
      <c r="D861" s="5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100"/>
      <c r="B862" s="12"/>
      <c r="C862" s="12"/>
      <c r="D862" s="5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100"/>
      <c r="B863" s="12"/>
      <c r="C863" s="12"/>
      <c r="D863" s="5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100"/>
      <c r="B864" s="12"/>
      <c r="C864" s="12"/>
      <c r="D864" s="5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100"/>
      <c r="B865" s="12"/>
      <c r="C865" s="12"/>
      <c r="D865" s="5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100"/>
      <c r="B866" s="12"/>
      <c r="C866" s="12"/>
      <c r="D866" s="5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100"/>
      <c r="B867" s="12"/>
      <c r="C867" s="12"/>
      <c r="D867" s="5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100"/>
      <c r="B868" s="12"/>
      <c r="C868" s="12"/>
      <c r="D868" s="5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100"/>
      <c r="B869" s="12"/>
      <c r="C869" s="12"/>
      <c r="D869" s="5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100"/>
      <c r="B870" s="12"/>
      <c r="C870" s="12"/>
      <c r="D870" s="5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100"/>
      <c r="B871" s="12"/>
      <c r="C871" s="12"/>
      <c r="D871" s="5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100"/>
      <c r="B872" s="12"/>
      <c r="C872" s="12"/>
      <c r="D872" s="5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100"/>
      <c r="B873" s="12"/>
      <c r="C873" s="12"/>
      <c r="D873" s="5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100"/>
      <c r="B874" s="12"/>
      <c r="C874" s="12"/>
      <c r="D874" s="5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100"/>
      <c r="B875" s="12"/>
      <c r="C875" s="12"/>
      <c r="D875" s="5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100"/>
      <c r="B876" s="12"/>
      <c r="C876" s="12"/>
      <c r="D876" s="5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100"/>
      <c r="B877" s="12"/>
      <c r="C877" s="12"/>
      <c r="D877" s="5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100"/>
      <c r="B878" s="12"/>
      <c r="C878" s="12"/>
      <c r="D878" s="5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100"/>
      <c r="B879" s="12"/>
      <c r="C879" s="12"/>
      <c r="D879" s="5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100"/>
      <c r="B880" s="12"/>
      <c r="C880" s="12"/>
      <c r="D880" s="5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100"/>
      <c r="B881" s="12"/>
      <c r="C881" s="12"/>
      <c r="D881" s="5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100"/>
      <c r="B882" s="12"/>
      <c r="C882" s="12"/>
      <c r="D882" s="5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100"/>
      <c r="B883" s="12"/>
      <c r="C883" s="12"/>
      <c r="D883" s="5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100"/>
      <c r="B884" s="12"/>
      <c r="C884" s="12"/>
      <c r="D884" s="5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100"/>
      <c r="B885" s="12"/>
      <c r="C885" s="12"/>
      <c r="D885" s="5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100"/>
      <c r="B886" s="12"/>
      <c r="C886" s="12"/>
      <c r="D886" s="5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100"/>
      <c r="B887" s="12"/>
      <c r="C887" s="12"/>
      <c r="D887" s="5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100"/>
      <c r="B888" s="12"/>
      <c r="C888" s="12"/>
      <c r="D888" s="5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100"/>
      <c r="B889" s="12"/>
      <c r="C889" s="12"/>
      <c r="D889" s="5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100"/>
      <c r="B890" s="12"/>
      <c r="C890" s="12"/>
      <c r="D890" s="5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100"/>
      <c r="B891" s="12"/>
      <c r="C891" s="12"/>
      <c r="D891" s="5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100"/>
      <c r="B892" s="12"/>
      <c r="C892" s="12"/>
      <c r="D892" s="5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100"/>
      <c r="B893" s="12"/>
      <c r="C893" s="12"/>
      <c r="D893" s="5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100"/>
      <c r="B894" s="12"/>
      <c r="C894" s="12"/>
      <c r="D894" s="5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100"/>
      <c r="B895" s="12"/>
      <c r="C895" s="12"/>
      <c r="D895" s="5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100"/>
      <c r="B896" s="12"/>
      <c r="C896" s="12"/>
      <c r="D896" s="5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100"/>
      <c r="B897" s="12"/>
      <c r="C897" s="12"/>
      <c r="D897" s="5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100"/>
      <c r="B898" s="12"/>
      <c r="C898" s="12"/>
      <c r="D898" s="5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100"/>
      <c r="B899" s="12"/>
      <c r="C899" s="12"/>
      <c r="D899" s="5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100"/>
      <c r="B900" s="12"/>
      <c r="C900" s="12"/>
      <c r="D900" s="5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100"/>
      <c r="B901" s="12"/>
      <c r="C901" s="12"/>
      <c r="D901" s="5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100"/>
      <c r="B902" s="12"/>
      <c r="C902" s="12"/>
      <c r="D902" s="5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100"/>
      <c r="B903" s="12"/>
      <c r="C903" s="12"/>
      <c r="D903" s="5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100"/>
      <c r="B904" s="12"/>
      <c r="C904" s="12"/>
      <c r="D904" s="5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100"/>
      <c r="B905" s="12"/>
      <c r="C905" s="12"/>
      <c r="D905" s="5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100"/>
      <c r="B906" s="12"/>
      <c r="C906" s="12"/>
      <c r="D906" s="5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100"/>
      <c r="B907" s="12"/>
      <c r="C907" s="12"/>
      <c r="D907" s="5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100"/>
      <c r="B908" s="12"/>
      <c r="C908" s="12"/>
      <c r="D908" s="5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100"/>
      <c r="B909" s="12"/>
      <c r="C909" s="12"/>
      <c r="D909" s="5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100"/>
      <c r="B910" s="12"/>
      <c r="C910" s="12"/>
      <c r="D910" s="5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100"/>
      <c r="B911" s="12"/>
      <c r="C911" s="12"/>
      <c r="D911" s="5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100"/>
      <c r="B912" s="12"/>
      <c r="C912" s="12"/>
      <c r="D912" s="5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100"/>
      <c r="B913" s="12"/>
      <c r="C913" s="12"/>
      <c r="D913" s="5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100"/>
      <c r="B914" s="12"/>
      <c r="C914" s="12"/>
      <c r="D914" s="5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100"/>
      <c r="B915" s="12"/>
      <c r="C915" s="12"/>
      <c r="D915" s="5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100"/>
      <c r="B916" s="12"/>
      <c r="C916" s="12"/>
      <c r="D916" s="5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100"/>
      <c r="B917" s="12"/>
      <c r="C917" s="12"/>
      <c r="D917" s="5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100"/>
      <c r="B918" s="12"/>
      <c r="C918" s="12"/>
      <c r="D918" s="5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100"/>
      <c r="B919" s="12"/>
      <c r="C919" s="12"/>
      <c r="D919" s="5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100"/>
      <c r="B920" s="12"/>
      <c r="C920" s="12"/>
      <c r="D920" s="5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100"/>
      <c r="B921" s="12"/>
      <c r="C921" s="12"/>
      <c r="D921" s="5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100"/>
      <c r="B922" s="12"/>
      <c r="C922" s="12"/>
      <c r="D922" s="5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100"/>
      <c r="B923" s="12"/>
      <c r="C923" s="12"/>
      <c r="D923" s="5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100"/>
      <c r="B924" s="12"/>
      <c r="C924" s="12"/>
      <c r="D924" s="5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100"/>
      <c r="B925" s="12"/>
      <c r="C925" s="12"/>
      <c r="D925" s="5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100"/>
      <c r="B926" s="12"/>
      <c r="C926" s="12"/>
      <c r="D926" s="5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100"/>
      <c r="B927" s="12"/>
      <c r="C927" s="12"/>
      <c r="D927" s="5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100"/>
      <c r="B928" s="12"/>
      <c r="C928" s="12"/>
      <c r="D928" s="5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100"/>
      <c r="B929" s="12"/>
      <c r="C929" s="12"/>
      <c r="D929" s="5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100"/>
      <c r="B930" s="12"/>
      <c r="C930" s="12"/>
      <c r="D930" s="5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100"/>
      <c r="B931" s="12"/>
      <c r="C931" s="12"/>
      <c r="D931" s="5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100"/>
      <c r="B932" s="12"/>
      <c r="C932" s="12"/>
      <c r="D932" s="5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100"/>
      <c r="B933" s="12"/>
      <c r="C933" s="12"/>
      <c r="D933" s="5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100"/>
      <c r="B934" s="12"/>
      <c r="C934" s="12"/>
      <c r="D934" s="5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100"/>
      <c r="B935" s="12"/>
      <c r="C935" s="12"/>
      <c r="D935" s="5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100"/>
      <c r="B936" s="12"/>
      <c r="C936" s="12"/>
      <c r="D936" s="5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100"/>
      <c r="B937" s="12"/>
      <c r="C937" s="12"/>
      <c r="D937" s="5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100"/>
      <c r="B938" s="12"/>
      <c r="C938" s="12"/>
      <c r="D938" s="5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100"/>
      <c r="B939" s="12"/>
      <c r="C939" s="12"/>
      <c r="D939" s="5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100"/>
      <c r="B940" s="12"/>
      <c r="C940" s="12"/>
      <c r="D940" s="5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100"/>
      <c r="B941" s="12"/>
      <c r="C941" s="12"/>
      <c r="D941" s="5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100"/>
      <c r="B942" s="12"/>
      <c r="C942" s="12"/>
      <c r="D942" s="5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100"/>
      <c r="B943" s="12"/>
      <c r="C943" s="12"/>
      <c r="D943" s="5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100"/>
      <c r="B944" s="12"/>
      <c r="C944" s="12"/>
      <c r="D944" s="5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100"/>
      <c r="B945" s="12"/>
      <c r="C945" s="12"/>
      <c r="D945" s="5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100"/>
      <c r="B946" s="12"/>
      <c r="C946" s="12"/>
      <c r="D946" s="5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100"/>
      <c r="B947" s="12"/>
      <c r="C947" s="12"/>
      <c r="D947" s="5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100"/>
      <c r="B948" s="12"/>
      <c r="C948" s="12"/>
      <c r="D948" s="5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100"/>
      <c r="B949" s="12"/>
      <c r="C949" s="12"/>
      <c r="D949" s="5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100"/>
      <c r="B950" s="12"/>
      <c r="C950" s="12"/>
      <c r="D950" s="5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100"/>
      <c r="B951" s="12"/>
      <c r="C951" s="12"/>
      <c r="D951" s="5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100"/>
      <c r="B952" s="12"/>
      <c r="C952" s="12"/>
      <c r="D952" s="5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100"/>
      <c r="B953" s="12"/>
      <c r="C953" s="12"/>
      <c r="D953" s="5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100"/>
      <c r="B954" s="12"/>
      <c r="C954" s="12"/>
      <c r="D954" s="5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100"/>
      <c r="B955" s="12"/>
      <c r="C955" s="12"/>
      <c r="D955" s="5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100"/>
      <c r="B956" s="12"/>
      <c r="C956" s="12"/>
      <c r="D956" s="5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100"/>
      <c r="B957" s="12"/>
      <c r="C957" s="12"/>
      <c r="D957" s="5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100"/>
      <c r="B958" s="12"/>
      <c r="C958" s="12"/>
      <c r="D958" s="5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100"/>
      <c r="B959" s="12"/>
      <c r="C959" s="12"/>
      <c r="D959" s="5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100"/>
      <c r="B960" s="12"/>
      <c r="C960" s="12"/>
      <c r="D960" s="5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100"/>
      <c r="B961" s="12"/>
      <c r="C961" s="12"/>
      <c r="D961" s="5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100"/>
      <c r="B962" s="12"/>
      <c r="C962" s="12"/>
      <c r="D962" s="5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100"/>
      <c r="B963" s="12"/>
      <c r="C963" s="12"/>
      <c r="D963" s="5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100"/>
      <c r="B964" s="12"/>
      <c r="C964" s="12"/>
      <c r="D964" s="5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100"/>
      <c r="B965" s="12"/>
      <c r="C965" s="12"/>
      <c r="D965" s="5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100"/>
      <c r="B966" s="12"/>
      <c r="C966" s="12"/>
      <c r="D966" s="5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100"/>
      <c r="B967" s="12"/>
      <c r="C967" s="12"/>
      <c r="D967" s="5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100"/>
      <c r="B968" s="12"/>
      <c r="C968" s="12"/>
      <c r="D968" s="5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100"/>
      <c r="B969" s="12"/>
      <c r="C969" s="12"/>
      <c r="D969" s="5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100"/>
      <c r="B970" s="12"/>
      <c r="C970" s="12"/>
      <c r="D970" s="5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100"/>
      <c r="B971" s="12"/>
      <c r="C971" s="12"/>
      <c r="D971" s="5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100"/>
      <c r="B972" s="12"/>
      <c r="C972" s="12"/>
      <c r="D972" s="5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100"/>
      <c r="B973" s="12"/>
      <c r="C973" s="12"/>
      <c r="D973" s="5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100"/>
      <c r="B974" s="12"/>
      <c r="C974" s="12"/>
      <c r="D974" s="5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100"/>
      <c r="B975" s="12"/>
      <c r="C975" s="12"/>
      <c r="D975" s="5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100"/>
      <c r="B976" s="12"/>
      <c r="C976" s="12"/>
      <c r="D976" s="5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100"/>
      <c r="B977" s="12"/>
      <c r="C977" s="12"/>
      <c r="D977" s="5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100"/>
      <c r="B978" s="12"/>
      <c r="C978" s="12"/>
      <c r="D978" s="5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100"/>
      <c r="B979" s="12"/>
      <c r="C979" s="12"/>
      <c r="D979" s="5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100"/>
      <c r="B980" s="12"/>
      <c r="C980" s="12"/>
      <c r="D980" s="5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100"/>
      <c r="B981" s="12"/>
      <c r="C981" s="12"/>
      <c r="D981" s="5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100"/>
      <c r="B982" s="12"/>
      <c r="C982" s="12"/>
      <c r="D982" s="5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100"/>
      <c r="B983" s="12"/>
      <c r="C983" s="12"/>
      <c r="D983" s="5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100"/>
      <c r="B984" s="12"/>
      <c r="C984" s="12"/>
      <c r="D984" s="5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100"/>
      <c r="B985" s="12"/>
      <c r="C985" s="12"/>
      <c r="D985" s="5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</sheetData>
  <autoFilter ref="$A$3:$F$5"/>
  <mergeCells count="2">
    <mergeCell ref="A1:E1"/>
    <mergeCell ref="A2:E2"/>
  </mergeCells>
  <hyperlinks>
    <hyperlink r:id="rId1" ref="B4"/>
    <hyperlink r:id="rId2" ref="C4"/>
    <hyperlink r:id="rId3" ref="A5"/>
    <hyperlink r:id="rId4" ref="C5"/>
    <hyperlink r:id="rId5" ref="A6"/>
    <hyperlink r:id="rId6" ref="B6"/>
    <hyperlink r:id="rId7" ref="C6"/>
    <hyperlink r:id="rId8" ref="A7"/>
    <hyperlink r:id="rId9" ref="C7"/>
    <hyperlink r:id="rId10" ref="A8"/>
    <hyperlink r:id="rId11" ref="C8"/>
    <hyperlink r:id="rId12" ref="A9"/>
    <hyperlink r:id="rId13" ref="B9"/>
    <hyperlink r:id="rId14" ref="C9"/>
    <hyperlink r:id="rId15" ref="C10"/>
    <hyperlink r:id="rId16" ref="A11"/>
    <hyperlink r:id="rId17" ref="B11"/>
    <hyperlink r:id="rId18" ref="C11"/>
    <hyperlink r:id="rId19" ref="A12"/>
    <hyperlink r:id="rId20" ref="C12"/>
    <hyperlink r:id="rId21" ref="A13"/>
    <hyperlink r:id="rId22" ref="C13"/>
  </hyperlinks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36.0"/>
    <col customWidth="1" min="2" max="2" width="88.11"/>
    <col customWidth="1" min="3" max="3" width="53.0"/>
    <col customWidth="1" min="4" max="4" width="15.0"/>
    <col customWidth="1" min="5" max="5" width="20.78"/>
    <col customWidth="1" min="6" max="25" width="6.78"/>
  </cols>
  <sheetData>
    <row r="1">
      <c r="A1" s="1" t="s">
        <v>0</v>
      </c>
      <c r="F1" s="10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42.0" customHeight="1">
      <c r="A2" s="8" t="s">
        <v>2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6.25" customHeight="1">
      <c r="A3" s="11" t="s">
        <v>4</v>
      </c>
      <c r="B3" s="13" t="s">
        <v>5</v>
      </c>
      <c r="C3" s="13" t="s">
        <v>7</v>
      </c>
      <c r="D3" s="14" t="s">
        <v>8</v>
      </c>
      <c r="E3" s="14" t="s">
        <v>9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63.5" customHeight="1">
      <c r="A4" s="16" t="str">
        <f>HYPERLINK("http://www.fullon-hotels.com.tw/  ","福容大飯店
全台分館")</f>
        <v>福容大飯店
全台分館</v>
      </c>
      <c r="B4" s="19" t="s">
        <v>10</v>
      </c>
      <c r="C4" s="21" t="s">
        <v>12</v>
      </c>
      <c r="D4" s="22">
        <v>46387.0</v>
      </c>
      <c r="E4" s="26" t="s">
        <v>13</v>
      </c>
      <c r="F4" s="28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ht="124.5" customHeight="1">
      <c r="A5" s="34" t="s">
        <v>15</v>
      </c>
      <c r="B5" s="35" t="s">
        <v>18</v>
      </c>
      <c r="C5" s="39" t="s">
        <v>19</v>
      </c>
      <c r="D5" s="22">
        <v>46387.0</v>
      </c>
      <c r="E5" s="40"/>
      <c r="F5" s="41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ht="152.25" customHeight="1">
      <c r="A6" s="16" t="str">
        <f>HYPERLINK("http://www.hotelday.com.tw/hotel03.aspx","承億文旅")</f>
        <v>承億文旅</v>
      </c>
      <c r="B6" s="43" t="s">
        <v>24</v>
      </c>
      <c r="C6" s="47" t="s">
        <v>25</v>
      </c>
      <c r="D6" s="22">
        <v>46387.0</v>
      </c>
      <c r="E6" s="48"/>
      <c r="F6" s="10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73.25" customHeight="1">
      <c r="A7" s="52" t="s">
        <v>29</v>
      </c>
      <c r="B7" s="53" t="s">
        <v>32</v>
      </c>
      <c r="C7" s="54" t="s">
        <v>35</v>
      </c>
      <c r="D7" s="22">
        <v>46387.0</v>
      </c>
      <c r="E7" s="55"/>
      <c r="F7" s="10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26.0" customHeight="1">
      <c r="A8" s="32" t="s">
        <v>36</v>
      </c>
      <c r="B8" s="57" t="s">
        <v>40</v>
      </c>
      <c r="C8" s="58" t="s">
        <v>41</v>
      </c>
      <c r="D8" s="61">
        <v>46389.0</v>
      </c>
      <c r="E8" s="26" t="s">
        <v>13</v>
      </c>
      <c r="F8" s="62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ht="132.0" customHeight="1">
      <c r="A9" s="32" t="s">
        <v>46</v>
      </c>
      <c r="B9" s="57" t="s">
        <v>49</v>
      </c>
      <c r="C9" s="58" t="s">
        <v>41</v>
      </c>
      <c r="D9" s="61">
        <v>46389.0</v>
      </c>
      <c r="E9" s="26" t="s">
        <v>13</v>
      </c>
      <c r="F9" s="62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</row>
    <row r="10" ht="181.5" customHeight="1">
      <c r="A10" s="52" t="s">
        <v>50</v>
      </c>
      <c r="B10" s="69" t="s">
        <v>53</v>
      </c>
      <c r="C10" s="71" t="s">
        <v>57</v>
      </c>
      <c r="D10" s="61">
        <v>46386.0</v>
      </c>
      <c r="E10" s="59" t="s">
        <v>60</v>
      </c>
      <c r="F10" s="1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43.25" customHeight="1">
      <c r="A11" s="16" t="s">
        <v>62</v>
      </c>
      <c r="B11" s="44" t="s">
        <v>65</v>
      </c>
      <c r="C11" s="36" t="s">
        <v>66</v>
      </c>
      <c r="D11" s="22">
        <v>46387.0</v>
      </c>
      <c r="E11" s="73"/>
      <c r="F11" s="10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162.0" customHeight="1">
      <c r="A12" s="76" t="s">
        <v>70</v>
      </c>
      <c r="B12" s="79" t="s">
        <v>74</v>
      </c>
      <c r="C12" s="71" t="s">
        <v>75</v>
      </c>
      <c r="D12" s="22">
        <v>46387.0</v>
      </c>
      <c r="E12" s="26" t="s">
        <v>13</v>
      </c>
      <c r="F12" s="10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68.0" customHeight="1">
      <c r="A13" s="16" t="s">
        <v>77</v>
      </c>
      <c r="B13" s="44" t="s">
        <v>80</v>
      </c>
      <c r="C13" s="36" t="s">
        <v>81</v>
      </c>
      <c r="D13" s="83" t="s">
        <v>83</v>
      </c>
      <c r="E13" s="26" t="s">
        <v>13</v>
      </c>
      <c r="F13" s="85" t="s">
        <v>69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86"/>
      <c r="B14" s="12"/>
      <c r="C14" s="89"/>
      <c r="D14" s="90"/>
      <c r="E14" s="90"/>
      <c r="F14" s="10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86"/>
      <c r="B15" s="12"/>
      <c r="C15" s="89"/>
      <c r="D15" s="90"/>
      <c r="E15" s="90"/>
      <c r="F15" s="10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86"/>
      <c r="B16" s="12"/>
      <c r="C16" s="89"/>
      <c r="D16" s="90"/>
      <c r="E16" s="90"/>
      <c r="F16" s="10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86"/>
      <c r="B17" s="12"/>
      <c r="C17" s="89"/>
      <c r="D17" s="90"/>
      <c r="E17" s="90"/>
      <c r="F17" s="10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86"/>
      <c r="B18" s="12"/>
      <c r="C18" s="89"/>
      <c r="D18" s="90"/>
      <c r="E18" s="90"/>
      <c r="F18" s="10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86"/>
      <c r="B19" s="12"/>
      <c r="C19" s="89"/>
      <c r="D19" s="90"/>
      <c r="E19" s="90"/>
      <c r="F19" s="10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86"/>
      <c r="B20" s="12"/>
      <c r="C20" s="89"/>
      <c r="D20" s="90"/>
      <c r="E20" s="90"/>
      <c r="F20" s="10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86"/>
      <c r="B21" s="12"/>
      <c r="C21" s="89"/>
      <c r="D21" s="90"/>
      <c r="E21" s="90"/>
      <c r="F21" s="10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86"/>
      <c r="B22" s="12"/>
      <c r="C22" s="89"/>
      <c r="D22" s="90"/>
      <c r="E22" s="90"/>
      <c r="F22" s="1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86"/>
      <c r="B23" s="12"/>
      <c r="C23" s="89"/>
      <c r="D23" s="90"/>
      <c r="E23" s="90"/>
      <c r="F23" s="10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86"/>
      <c r="B24" s="12"/>
      <c r="C24" s="89"/>
      <c r="D24" s="90"/>
      <c r="E24" s="90"/>
      <c r="F24" s="10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86"/>
      <c r="B25" s="12"/>
      <c r="C25" s="89"/>
      <c r="D25" s="90"/>
      <c r="E25" s="90"/>
      <c r="F25" s="10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86"/>
      <c r="B26" s="12"/>
      <c r="C26" s="89"/>
      <c r="D26" s="90"/>
      <c r="E26" s="90"/>
      <c r="F26" s="10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86"/>
      <c r="B27" s="12"/>
      <c r="C27" s="89"/>
      <c r="D27" s="90"/>
      <c r="E27" s="90"/>
      <c r="F27" s="10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86"/>
      <c r="B28" s="12"/>
      <c r="C28" s="89"/>
      <c r="D28" s="90"/>
      <c r="E28" s="90"/>
      <c r="F28" s="10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86"/>
      <c r="B29" s="12"/>
      <c r="C29" s="89"/>
      <c r="D29" s="90"/>
      <c r="E29" s="90"/>
      <c r="F29" s="10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86"/>
      <c r="B30" s="12"/>
      <c r="C30" s="89"/>
      <c r="D30" s="90"/>
      <c r="E30" s="90"/>
      <c r="F30" s="10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86"/>
      <c r="B31" s="12"/>
      <c r="C31" s="89"/>
      <c r="D31" s="90"/>
      <c r="E31" s="90"/>
      <c r="F31" s="10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86"/>
      <c r="B32" s="12"/>
      <c r="C32" s="89"/>
      <c r="D32" s="90"/>
      <c r="E32" s="90"/>
      <c r="F32" s="10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86"/>
      <c r="B33" s="12"/>
      <c r="C33" s="89"/>
      <c r="D33" s="90"/>
      <c r="E33" s="90"/>
      <c r="F33" s="1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86"/>
      <c r="B34" s="12"/>
      <c r="C34" s="89"/>
      <c r="D34" s="90"/>
      <c r="E34" s="90"/>
      <c r="F34" s="10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86"/>
      <c r="B35" s="12"/>
      <c r="C35" s="89"/>
      <c r="D35" s="90"/>
      <c r="E35" s="90"/>
      <c r="F35" s="10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86"/>
      <c r="B36" s="12"/>
      <c r="C36" s="89"/>
      <c r="D36" s="90"/>
      <c r="E36" s="90"/>
      <c r="F36" s="10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86"/>
      <c r="B37" s="12"/>
      <c r="C37" s="89"/>
      <c r="D37" s="90"/>
      <c r="E37" s="90"/>
      <c r="F37" s="10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86"/>
      <c r="B38" s="12"/>
      <c r="C38" s="89"/>
      <c r="D38" s="90"/>
      <c r="E38" s="90"/>
      <c r="F38" s="10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86"/>
      <c r="B39" s="12"/>
      <c r="C39" s="89"/>
      <c r="D39" s="90"/>
      <c r="E39" s="90"/>
      <c r="F39" s="10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86"/>
      <c r="B40" s="12"/>
      <c r="C40" s="89"/>
      <c r="D40" s="90"/>
      <c r="E40" s="90"/>
      <c r="F40" s="10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86"/>
      <c r="B41" s="12"/>
      <c r="C41" s="89"/>
      <c r="D41" s="90"/>
      <c r="E41" s="90"/>
      <c r="F41" s="10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86"/>
      <c r="B42" s="12"/>
      <c r="C42" s="89"/>
      <c r="D42" s="90"/>
      <c r="E42" s="90"/>
      <c r="F42" s="10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86"/>
      <c r="B43" s="12"/>
      <c r="C43" s="89"/>
      <c r="D43" s="90"/>
      <c r="E43" s="90"/>
      <c r="F43" s="10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86"/>
      <c r="B44" s="12"/>
      <c r="C44" s="89"/>
      <c r="D44" s="90"/>
      <c r="E44" s="90"/>
      <c r="F44" s="10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86"/>
      <c r="B45" s="12"/>
      <c r="C45" s="89"/>
      <c r="D45" s="90"/>
      <c r="E45" s="90"/>
      <c r="F45" s="10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86"/>
      <c r="B46" s="12"/>
      <c r="C46" s="89"/>
      <c r="D46" s="90"/>
      <c r="E46" s="90"/>
      <c r="F46" s="10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86"/>
      <c r="B47" s="12"/>
      <c r="C47" s="89"/>
      <c r="D47" s="90"/>
      <c r="E47" s="90"/>
      <c r="F47" s="10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86"/>
      <c r="B48" s="12"/>
      <c r="C48" s="89"/>
      <c r="D48" s="90"/>
      <c r="E48" s="90"/>
      <c r="F48" s="1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86"/>
      <c r="B49" s="12"/>
      <c r="C49" s="89"/>
      <c r="D49" s="90"/>
      <c r="E49" s="90"/>
      <c r="F49" s="10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86"/>
      <c r="B50" s="12"/>
      <c r="C50" s="89"/>
      <c r="D50" s="90"/>
      <c r="E50" s="90"/>
      <c r="F50" s="10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86"/>
      <c r="B51" s="12"/>
      <c r="C51" s="89"/>
      <c r="D51" s="90"/>
      <c r="E51" s="90"/>
      <c r="F51" s="10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86"/>
      <c r="B52" s="12"/>
      <c r="C52" s="89"/>
      <c r="D52" s="90"/>
      <c r="E52" s="90"/>
      <c r="F52" s="10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86"/>
      <c r="B53" s="12"/>
      <c r="C53" s="89"/>
      <c r="D53" s="90"/>
      <c r="E53" s="90"/>
      <c r="F53" s="10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86"/>
      <c r="B54" s="12"/>
      <c r="C54" s="89"/>
      <c r="D54" s="90"/>
      <c r="E54" s="90"/>
      <c r="F54" s="10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86"/>
      <c r="B55" s="12"/>
      <c r="C55" s="89"/>
      <c r="D55" s="90"/>
      <c r="E55" s="90"/>
      <c r="F55" s="10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86"/>
      <c r="B56" s="12"/>
      <c r="C56" s="89"/>
      <c r="D56" s="90"/>
      <c r="E56" s="90"/>
      <c r="F56" s="10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86"/>
      <c r="B57" s="12"/>
      <c r="C57" s="89"/>
      <c r="D57" s="90"/>
      <c r="E57" s="90"/>
      <c r="F57" s="10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86"/>
      <c r="B58" s="12"/>
      <c r="C58" s="89"/>
      <c r="D58" s="90"/>
      <c r="E58" s="90"/>
      <c r="F58" s="10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86"/>
      <c r="B59" s="12"/>
      <c r="C59" s="89"/>
      <c r="D59" s="90"/>
      <c r="E59" s="90"/>
      <c r="F59" s="10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86"/>
      <c r="B60" s="12"/>
      <c r="C60" s="89"/>
      <c r="D60" s="90"/>
      <c r="E60" s="90"/>
      <c r="F60" s="10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86"/>
      <c r="B61" s="12"/>
      <c r="C61" s="89"/>
      <c r="D61" s="90"/>
      <c r="E61" s="90"/>
      <c r="F61" s="10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86"/>
      <c r="B62" s="12"/>
      <c r="C62" s="89"/>
      <c r="D62" s="90"/>
      <c r="E62" s="90"/>
      <c r="F62" s="10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86"/>
      <c r="B63" s="12"/>
      <c r="C63" s="89"/>
      <c r="D63" s="90"/>
      <c r="E63" s="90"/>
      <c r="F63" s="10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86"/>
      <c r="B64" s="12"/>
      <c r="C64" s="89"/>
      <c r="D64" s="90"/>
      <c r="E64" s="90"/>
      <c r="F64" s="10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86"/>
      <c r="B65" s="12"/>
      <c r="C65" s="89"/>
      <c r="D65" s="90"/>
      <c r="E65" s="90"/>
      <c r="F65" s="10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86"/>
      <c r="B66" s="12"/>
      <c r="C66" s="89"/>
      <c r="D66" s="90"/>
      <c r="E66" s="90"/>
      <c r="F66" s="10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86"/>
      <c r="B67" s="12"/>
      <c r="C67" s="89"/>
      <c r="D67" s="90"/>
      <c r="E67" s="90"/>
      <c r="F67" s="10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86"/>
      <c r="B68" s="12"/>
      <c r="C68" s="89"/>
      <c r="D68" s="90"/>
      <c r="E68" s="90"/>
      <c r="F68" s="10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86"/>
      <c r="B69" s="12"/>
      <c r="C69" s="89"/>
      <c r="D69" s="90"/>
      <c r="E69" s="90"/>
      <c r="F69" s="10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86"/>
      <c r="B70" s="12"/>
      <c r="C70" s="89"/>
      <c r="D70" s="90"/>
      <c r="E70" s="90"/>
      <c r="F70" s="10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86"/>
      <c r="B71" s="12"/>
      <c r="C71" s="89"/>
      <c r="D71" s="90"/>
      <c r="E71" s="90"/>
      <c r="F71" s="10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86"/>
      <c r="B72" s="12"/>
      <c r="C72" s="89"/>
      <c r="D72" s="90"/>
      <c r="E72" s="90"/>
      <c r="F72" s="10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86"/>
      <c r="B73" s="12"/>
      <c r="C73" s="89"/>
      <c r="D73" s="90"/>
      <c r="E73" s="90"/>
      <c r="F73" s="10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86"/>
      <c r="B74" s="12"/>
      <c r="C74" s="89"/>
      <c r="D74" s="90"/>
      <c r="E74" s="90"/>
      <c r="F74" s="10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86"/>
      <c r="B75" s="12"/>
      <c r="C75" s="89"/>
      <c r="D75" s="90"/>
      <c r="E75" s="90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86"/>
      <c r="B76" s="12"/>
      <c r="C76" s="89"/>
      <c r="D76" s="90"/>
      <c r="E76" s="90"/>
      <c r="F76" s="10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86"/>
      <c r="B77" s="12"/>
      <c r="C77" s="89"/>
      <c r="D77" s="90"/>
      <c r="E77" s="90"/>
      <c r="F77" s="10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86"/>
      <c r="B78" s="12"/>
      <c r="C78" s="89"/>
      <c r="D78" s="90"/>
      <c r="E78" s="90"/>
      <c r="F78" s="10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86"/>
      <c r="B79" s="12"/>
      <c r="C79" s="89"/>
      <c r="D79" s="90"/>
      <c r="E79" s="90"/>
      <c r="F79" s="10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86"/>
      <c r="B80" s="12"/>
      <c r="C80" s="89"/>
      <c r="D80" s="90"/>
      <c r="E80" s="90"/>
      <c r="F80" s="10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86"/>
      <c r="B81" s="12"/>
      <c r="C81" s="89"/>
      <c r="D81" s="90"/>
      <c r="E81" s="90"/>
      <c r="F81" s="10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86"/>
      <c r="B82" s="12"/>
      <c r="C82" s="89"/>
      <c r="D82" s="90"/>
      <c r="E82" s="90"/>
      <c r="F82" s="10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86"/>
      <c r="B83" s="12"/>
      <c r="C83" s="89"/>
      <c r="D83" s="90"/>
      <c r="E83" s="90"/>
      <c r="F83" s="10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86"/>
      <c r="B84" s="12"/>
      <c r="C84" s="89"/>
      <c r="D84" s="90"/>
      <c r="E84" s="90"/>
      <c r="F84" s="10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86"/>
      <c r="B85" s="12"/>
      <c r="C85" s="89"/>
      <c r="D85" s="90"/>
      <c r="E85" s="90"/>
      <c r="F85" s="10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86"/>
      <c r="B86" s="12"/>
      <c r="C86" s="89"/>
      <c r="D86" s="90"/>
      <c r="E86" s="90"/>
      <c r="F86" s="10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86"/>
      <c r="B87" s="12"/>
      <c r="C87" s="89"/>
      <c r="D87" s="90"/>
      <c r="E87" s="90"/>
      <c r="F87" s="10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86"/>
      <c r="B88" s="12"/>
      <c r="C88" s="89"/>
      <c r="D88" s="90"/>
      <c r="E88" s="90"/>
      <c r="F88" s="10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86"/>
      <c r="B89" s="12"/>
      <c r="C89" s="89"/>
      <c r="D89" s="90"/>
      <c r="E89" s="90"/>
      <c r="F89" s="10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86"/>
      <c r="B90" s="12"/>
      <c r="C90" s="89"/>
      <c r="D90" s="90"/>
      <c r="E90" s="90"/>
      <c r="F90" s="10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86"/>
      <c r="B91" s="12"/>
      <c r="C91" s="89"/>
      <c r="D91" s="90"/>
      <c r="E91" s="90"/>
      <c r="F91" s="10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86"/>
      <c r="B92" s="12"/>
      <c r="C92" s="89"/>
      <c r="D92" s="90"/>
      <c r="E92" s="90"/>
      <c r="F92" s="10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86"/>
      <c r="B93" s="12"/>
      <c r="C93" s="89"/>
      <c r="D93" s="90"/>
      <c r="E93" s="90"/>
      <c r="F93" s="10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86"/>
      <c r="B94" s="12"/>
      <c r="C94" s="89"/>
      <c r="D94" s="90"/>
      <c r="E94" s="90"/>
      <c r="F94" s="10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86"/>
      <c r="B95" s="12"/>
      <c r="C95" s="89"/>
      <c r="D95" s="90"/>
      <c r="E95" s="90"/>
      <c r="F95" s="10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86"/>
      <c r="B96" s="12"/>
      <c r="C96" s="89"/>
      <c r="D96" s="90"/>
      <c r="E96" s="90"/>
      <c r="F96" s="10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86"/>
      <c r="B97" s="12"/>
      <c r="C97" s="89"/>
      <c r="D97" s="90"/>
      <c r="E97" s="90"/>
      <c r="F97" s="10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86"/>
      <c r="B98" s="12"/>
      <c r="C98" s="89"/>
      <c r="D98" s="90"/>
      <c r="E98" s="90"/>
      <c r="F98" s="10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86"/>
      <c r="B99" s="12"/>
      <c r="C99" s="89"/>
      <c r="D99" s="90"/>
      <c r="E99" s="90"/>
      <c r="F99" s="10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86"/>
      <c r="B100" s="12"/>
      <c r="C100" s="89"/>
      <c r="D100" s="90"/>
      <c r="E100" s="90"/>
      <c r="F100" s="10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86"/>
      <c r="B101" s="12"/>
      <c r="C101" s="89"/>
      <c r="D101" s="90"/>
      <c r="E101" s="90"/>
      <c r="F101" s="10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86"/>
      <c r="B102" s="12"/>
      <c r="C102" s="89"/>
      <c r="D102" s="90"/>
      <c r="E102" s="90"/>
      <c r="F102" s="10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86"/>
      <c r="B103" s="12"/>
      <c r="C103" s="89"/>
      <c r="D103" s="90"/>
      <c r="E103" s="90"/>
      <c r="F103" s="10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86"/>
      <c r="B104" s="12"/>
      <c r="C104" s="89"/>
      <c r="D104" s="90"/>
      <c r="E104" s="90"/>
      <c r="F104" s="10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86"/>
      <c r="B105" s="12"/>
      <c r="C105" s="89"/>
      <c r="D105" s="90"/>
      <c r="E105" s="90"/>
      <c r="F105" s="10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86"/>
      <c r="B106" s="12"/>
      <c r="C106" s="89"/>
      <c r="D106" s="90"/>
      <c r="E106" s="90"/>
      <c r="F106" s="10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86"/>
      <c r="B107" s="12"/>
      <c r="C107" s="89"/>
      <c r="D107" s="90"/>
      <c r="E107" s="90"/>
      <c r="F107" s="10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86"/>
      <c r="B108" s="12"/>
      <c r="C108" s="89"/>
      <c r="D108" s="90"/>
      <c r="E108" s="90"/>
      <c r="F108" s="10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86"/>
      <c r="B109" s="12"/>
      <c r="C109" s="89"/>
      <c r="D109" s="90"/>
      <c r="E109" s="90"/>
      <c r="F109" s="10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86"/>
      <c r="B110" s="12"/>
      <c r="C110" s="89"/>
      <c r="D110" s="90"/>
      <c r="E110" s="90"/>
      <c r="F110" s="10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86"/>
      <c r="B111" s="12"/>
      <c r="C111" s="89"/>
      <c r="D111" s="90"/>
      <c r="E111" s="90"/>
      <c r="F111" s="10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86"/>
      <c r="B112" s="12"/>
      <c r="C112" s="89"/>
      <c r="D112" s="90"/>
      <c r="E112" s="90"/>
      <c r="F112" s="10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86"/>
      <c r="B113" s="12"/>
      <c r="C113" s="89"/>
      <c r="D113" s="90"/>
      <c r="E113" s="90"/>
      <c r="F113" s="10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86"/>
      <c r="B114" s="12"/>
      <c r="C114" s="89"/>
      <c r="D114" s="90"/>
      <c r="E114" s="90"/>
      <c r="F114" s="10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86"/>
      <c r="B115" s="12"/>
      <c r="C115" s="89"/>
      <c r="D115" s="90"/>
      <c r="E115" s="90"/>
      <c r="F115" s="10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86"/>
      <c r="B116" s="12"/>
      <c r="C116" s="89"/>
      <c r="D116" s="90"/>
      <c r="E116" s="90"/>
      <c r="F116" s="10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86"/>
      <c r="B117" s="12"/>
      <c r="C117" s="89"/>
      <c r="D117" s="90"/>
      <c r="E117" s="90"/>
      <c r="F117" s="10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86"/>
      <c r="B118" s="12"/>
      <c r="C118" s="89"/>
      <c r="D118" s="90"/>
      <c r="E118" s="90"/>
      <c r="F118" s="10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86"/>
      <c r="B119" s="12"/>
      <c r="C119" s="89"/>
      <c r="D119" s="90"/>
      <c r="E119" s="90"/>
      <c r="F119" s="10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86"/>
      <c r="B120" s="12"/>
      <c r="C120" s="89"/>
      <c r="D120" s="90"/>
      <c r="E120" s="90"/>
      <c r="F120" s="10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86"/>
      <c r="B121" s="12"/>
      <c r="C121" s="89"/>
      <c r="D121" s="90"/>
      <c r="E121" s="90"/>
      <c r="F121" s="10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86"/>
      <c r="B122" s="12"/>
      <c r="C122" s="89"/>
      <c r="D122" s="90"/>
      <c r="E122" s="90"/>
      <c r="F122" s="10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86"/>
      <c r="B123" s="12"/>
      <c r="C123" s="89"/>
      <c r="D123" s="90"/>
      <c r="E123" s="90"/>
      <c r="F123" s="10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86"/>
      <c r="B124" s="12"/>
      <c r="C124" s="89"/>
      <c r="D124" s="90"/>
      <c r="E124" s="90"/>
      <c r="F124" s="10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86"/>
      <c r="B125" s="12"/>
      <c r="C125" s="89"/>
      <c r="D125" s="90"/>
      <c r="E125" s="90"/>
      <c r="F125" s="10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86"/>
      <c r="B126" s="12"/>
      <c r="C126" s="89"/>
      <c r="D126" s="90"/>
      <c r="E126" s="90"/>
      <c r="F126" s="10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86"/>
      <c r="B127" s="12"/>
      <c r="C127" s="89"/>
      <c r="D127" s="90"/>
      <c r="E127" s="90"/>
      <c r="F127" s="10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86"/>
      <c r="B128" s="12"/>
      <c r="C128" s="89"/>
      <c r="D128" s="90"/>
      <c r="E128" s="90"/>
      <c r="F128" s="10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86"/>
      <c r="B129" s="12"/>
      <c r="C129" s="89"/>
      <c r="D129" s="90"/>
      <c r="E129" s="90"/>
      <c r="F129" s="10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86"/>
      <c r="B130" s="12"/>
      <c r="C130" s="89"/>
      <c r="D130" s="90"/>
      <c r="E130" s="90"/>
      <c r="F130" s="10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86"/>
      <c r="B131" s="12"/>
      <c r="C131" s="89"/>
      <c r="D131" s="90"/>
      <c r="E131" s="90"/>
      <c r="F131" s="10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86"/>
      <c r="B132" s="12"/>
      <c r="C132" s="89"/>
      <c r="D132" s="90"/>
      <c r="E132" s="90"/>
      <c r="F132" s="10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86"/>
      <c r="B133" s="12"/>
      <c r="C133" s="89"/>
      <c r="D133" s="90"/>
      <c r="E133" s="90"/>
      <c r="F133" s="10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86"/>
      <c r="B134" s="12"/>
      <c r="C134" s="89"/>
      <c r="D134" s="90"/>
      <c r="E134" s="90"/>
      <c r="F134" s="10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86"/>
      <c r="B135" s="12"/>
      <c r="C135" s="89"/>
      <c r="D135" s="90"/>
      <c r="E135" s="90"/>
      <c r="F135" s="10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86"/>
      <c r="B136" s="12"/>
      <c r="C136" s="89"/>
      <c r="D136" s="90"/>
      <c r="E136" s="90"/>
      <c r="F136" s="10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86"/>
      <c r="B137" s="12"/>
      <c r="C137" s="89"/>
      <c r="D137" s="90"/>
      <c r="E137" s="90"/>
      <c r="F137" s="10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86"/>
      <c r="B138" s="12"/>
      <c r="C138" s="89"/>
      <c r="D138" s="90"/>
      <c r="E138" s="90"/>
      <c r="F138" s="10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86"/>
      <c r="B139" s="12"/>
      <c r="C139" s="89"/>
      <c r="D139" s="90"/>
      <c r="E139" s="90"/>
      <c r="F139" s="10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86"/>
      <c r="B140" s="12"/>
      <c r="C140" s="89"/>
      <c r="D140" s="90"/>
      <c r="E140" s="90"/>
      <c r="F140" s="10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86"/>
      <c r="B141" s="12"/>
      <c r="C141" s="89"/>
      <c r="D141" s="90"/>
      <c r="E141" s="90"/>
      <c r="F141" s="10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86"/>
      <c r="B142" s="12"/>
      <c r="C142" s="89"/>
      <c r="D142" s="90"/>
      <c r="E142" s="90"/>
      <c r="F142" s="10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86"/>
      <c r="B143" s="12"/>
      <c r="C143" s="89"/>
      <c r="D143" s="90"/>
      <c r="E143" s="90"/>
      <c r="F143" s="10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86"/>
      <c r="B144" s="12"/>
      <c r="C144" s="89"/>
      <c r="D144" s="90"/>
      <c r="E144" s="90"/>
      <c r="F144" s="10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86"/>
      <c r="B145" s="12"/>
      <c r="C145" s="89"/>
      <c r="D145" s="90"/>
      <c r="E145" s="90"/>
      <c r="F145" s="10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86"/>
      <c r="B146" s="12"/>
      <c r="C146" s="89"/>
      <c r="D146" s="90"/>
      <c r="E146" s="90"/>
      <c r="F146" s="10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86"/>
      <c r="B147" s="12"/>
      <c r="C147" s="89"/>
      <c r="D147" s="90"/>
      <c r="E147" s="90"/>
      <c r="F147" s="10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86"/>
      <c r="B148" s="12"/>
      <c r="C148" s="89"/>
      <c r="D148" s="90"/>
      <c r="E148" s="90"/>
      <c r="F148" s="10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86"/>
      <c r="B149" s="12"/>
      <c r="C149" s="89"/>
      <c r="D149" s="90"/>
      <c r="E149" s="90"/>
      <c r="F149" s="10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86"/>
      <c r="B150" s="12"/>
      <c r="C150" s="89"/>
      <c r="D150" s="90"/>
      <c r="E150" s="90"/>
      <c r="F150" s="10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86"/>
      <c r="B151" s="12"/>
      <c r="C151" s="89"/>
      <c r="D151" s="90"/>
      <c r="E151" s="90"/>
      <c r="F151" s="10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86"/>
      <c r="B152" s="12"/>
      <c r="C152" s="89"/>
      <c r="D152" s="90"/>
      <c r="E152" s="90"/>
      <c r="F152" s="10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86"/>
      <c r="B153" s="12"/>
      <c r="C153" s="89"/>
      <c r="D153" s="90"/>
      <c r="E153" s="90"/>
      <c r="F153" s="10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86"/>
      <c r="B154" s="12"/>
      <c r="C154" s="89"/>
      <c r="D154" s="90"/>
      <c r="E154" s="90"/>
      <c r="F154" s="10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86"/>
      <c r="B155" s="12"/>
      <c r="C155" s="89"/>
      <c r="D155" s="90"/>
      <c r="E155" s="90"/>
      <c r="F155" s="10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86"/>
      <c r="B156" s="12"/>
      <c r="C156" s="89"/>
      <c r="D156" s="90"/>
      <c r="E156" s="90"/>
      <c r="F156" s="10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86"/>
      <c r="B157" s="12"/>
      <c r="C157" s="89"/>
      <c r="D157" s="90"/>
      <c r="E157" s="90"/>
      <c r="F157" s="10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86"/>
      <c r="B158" s="12"/>
      <c r="C158" s="89"/>
      <c r="D158" s="90"/>
      <c r="E158" s="90"/>
      <c r="F158" s="10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86"/>
      <c r="B159" s="12"/>
      <c r="C159" s="89"/>
      <c r="D159" s="90"/>
      <c r="E159" s="90"/>
      <c r="F159" s="10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86"/>
      <c r="B160" s="12"/>
      <c r="C160" s="89"/>
      <c r="D160" s="90"/>
      <c r="E160" s="90"/>
      <c r="F160" s="10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86"/>
      <c r="B161" s="12"/>
      <c r="C161" s="89"/>
      <c r="D161" s="90"/>
      <c r="E161" s="90"/>
      <c r="F161" s="10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86"/>
      <c r="B162" s="12"/>
      <c r="C162" s="89"/>
      <c r="D162" s="90"/>
      <c r="E162" s="90"/>
      <c r="F162" s="10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86"/>
      <c r="B163" s="12"/>
      <c r="C163" s="89"/>
      <c r="D163" s="90"/>
      <c r="E163" s="90"/>
      <c r="F163" s="10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86"/>
      <c r="B164" s="12"/>
      <c r="C164" s="89"/>
      <c r="D164" s="90"/>
      <c r="E164" s="90"/>
      <c r="F164" s="10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86"/>
      <c r="B165" s="12"/>
      <c r="C165" s="89"/>
      <c r="D165" s="90"/>
      <c r="E165" s="90"/>
      <c r="F165" s="10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86"/>
      <c r="B166" s="12"/>
      <c r="C166" s="89"/>
      <c r="D166" s="90"/>
      <c r="E166" s="90"/>
      <c r="F166" s="10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86"/>
      <c r="B167" s="12"/>
      <c r="C167" s="89"/>
      <c r="D167" s="90"/>
      <c r="E167" s="90"/>
      <c r="F167" s="10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86"/>
      <c r="B168" s="12"/>
      <c r="C168" s="89"/>
      <c r="D168" s="90"/>
      <c r="E168" s="90"/>
      <c r="F168" s="10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86"/>
      <c r="B169" s="12"/>
      <c r="C169" s="89"/>
      <c r="D169" s="90"/>
      <c r="E169" s="90"/>
      <c r="F169" s="10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86"/>
      <c r="B170" s="12"/>
      <c r="C170" s="89"/>
      <c r="D170" s="90"/>
      <c r="E170" s="90"/>
      <c r="F170" s="10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86"/>
      <c r="B171" s="12"/>
      <c r="C171" s="89"/>
      <c r="D171" s="90"/>
      <c r="E171" s="90"/>
      <c r="F171" s="10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86"/>
      <c r="B172" s="12"/>
      <c r="C172" s="89"/>
      <c r="D172" s="90"/>
      <c r="E172" s="90"/>
      <c r="F172" s="10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86"/>
      <c r="B173" s="12"/>
      <c r="C173" s="89"/>
      <c r="D173" s="90"/>
      <c r="E173" s="90"/>
      <c r="F173" s="10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86"/>
      <c r="B174" s="12"/>
      <c r="C174" s="89"/>
      <c r="D174" s="90"/>
      <c r="E174" s="90"/>
      <c r="F174" s="10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86"/>
      <c r="B175" s="12"/>
      <c r="C175" s="89"/>
      <c r="D175" s="90"/>
      <c r="E175" s="90"/>
      <c r="F175" s="10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86"/>
      <c r="B176" s="12"/>
      <c r="C176" s="89"/>
      <c r="D176" s="90"/>
      <c r="E176" s="90"/>
      <c r="F176" s="10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86"/>
      <c r="B177" s="12"/>
      <c r="C177" s="89"/>
      <c r="D177" s="90"/>
      <c r="E177" s="90"/>
      <c r="F177" s="10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86"/>
      <c r="B178" s="12"/>
      <c r="C178" s="89"/>
      <c r="D178" s="90"/>
      <c r="E178" s="90"/>
      <c r="F178" s="10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86"/>
      <c r="B179" s="12"/>
      <c r="C179" s="89"/>
      <c r="D179" s="90"/>
      <c r="E179" s="90"/>
      <c r="F179" s="10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86"/>
      <c r="B180" s="12"/>
      <c r="C180" s="89"/>
      <c r="D180" s="90"/>
      <c r="E180" s="90"/>
      <c r="F180" s="10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86"/>
      <c r="B181" s="12"/>
      <c r="C181" s="89"/>
      <c r="D181" s="90"/>
      <c r="E181" s="90"/>
      <c r="F181" s="10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86"/>
      <c r="B182" s="12"/>
      <c r="C182" s="89"/>
      <c r="D182" s="90"/>
      <c r="E182" s="90"/>
      <c r="F182" s="10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86"/>
      <c r="B183" s="12"/>
      <c r="C183" s="89"/>
      <c r="D183" s="90"/>
      <c r="E183" s="90"/>
      <c r="F183" s="10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86"/>
      <c r="B184" s="12"/>
      <c r="C184" s="89"/>
      <c r="D184" s="90"/>
      <c r="E184" s="90"/>
      <c r="F184" s="10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86"/>
      <c r="B185" s="12"/>
      <c r="C185" s="89"/>
      <c r="D185" s="90"/>
      <c r="E185" s="90"/>
      <c r="F185" s="10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86"/>
      <c r="B186" s="12"/>
      <c r="C186" s="89"/>
      <c r="D186" s="90"/>
      <c r="E186" s="90"/>
      <c r="F186" s="10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86"/>
      <c r="B187" s="12"/>
      <c r="C187" s="89"/>
      <c r="D187" s="90"/>
      <c r="E187" s="90"/>
      <c r="F187" s="10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86"/>
      <c r="B188" s="12"/>
      <c r="C188" s="89"/>
      <c r="D188" s="90"/>
      <c r="E188" s="90"/>
      <c r="F188" s="10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86"/>
      <c r="B189" s="12"/>
      <c r="C189" s="89"/>
      <c r="D189" s="90"/>
      <c r="E189" s="90"/>
      <c r="F189" s="10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86"/>
      <c r="B190" s="12"/>
      <c r="C190" s="89"/>
      <c r="D190" s="90"/>
      <c r="E190" s="90"/>
      <c r="F190" s="10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86"/>
      <c r="B191" s="12"/>
      <c r="C191" s="89"/>
      <c r="D191" s="90"/>
      <c r="E191" s="90"/>
      <c r="F191" s="10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86"/>
      <c r="B192" s="12"/>
      <c r="C192" s="89"/>
      <c r="D192" s="90"/>
      <c r="E192" s="90"/>
      <c r="F192" s="10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86"/>
      <c r="B193" s="12"/>
      <c r="C193" s="89"/>
      <c r="D193" s="90"/>
      <c r="E193" s="90"/>
      <c r="F193" s="10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86"/>
      <c r="B194" s="12"/>
      <c r="C194" s="89"/>
      <c r="D194" s="90"/>
      <c r="E194" s="90"/>
      <c r="F194" s="10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86"/>
      <c r="B195" s="12"/>
      <c r="C195" s="89"/>
      <c r="D195" s="90"/>
      <c r="E195" s="90"/>
      <c r="F195" s="10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86"/>
      <c r="B196" s="12"/>
      <c r="C196" s="89"/>
      <c r="D196" s="90"/>
      <c r="E196" s="90"/>
      <c r="F196" s="10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86"/>
      <c r="B197" s="12"/>
      <c r="C197" s="89"/>
      <c r="D197" s="90"/>
      <c r="E197" s="90"/>
      <c r="F197" s="10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86"/>
      <c r="B198" s="12"/>
      <c r="C198" s="89"/>
      <c r="D198" s="90"/>
      <c r="E198" s="90"/>
      <c r="F198" s="10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86"/>
      <c r="B199" s="12"/>
      <c r="C199" s="89"/>
      <c r="D199" s="90"/>
      <c r="E199" s="90"/>
      <c r="F199" s="10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86"/>
      <c r="B200" s="12"/>
      <c r="C200" s="89"/>
      <c r="D200" s="90"/>
      <c r="E200" s="90"/>
      <c r="F200" s="10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86"/>
      <c r="B201" s="12"/>
      <c r="C201" s="89"/>
      <c r="D201" s="90"/>
      <c r="E201" s="90"/>
      <c r="F201" s="10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86"/>
      <c r="B202" s="12"/>
      <c r="C202" s="89"/>
      <c r="D202" s="90"/>
      <c r="E202" s="90"/>
      <c r="F202" s="10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86"/>
      <c r="B203" s="12"/>
      <c r="C203" s="89"/>
      <c r="D203" s="90"/>
      <c r="E203" s="90"/>
      <c r="F203" s="10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86"/>
      <c r="B204" s="12"/>
      <c r="C204" s="89"/>
      <c r="D204" s="90"/>
      <c r="E204" s="90"/>
      <c r="F204" s="10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86"/>
      <c r="B205" s="12"/>
      <c r="C205" s="89"/>
      <c r="D205" s="90"/>
      <c r="E205" s="90"/>
      <c r="F205" s="10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86"/>
      <c r="B206" s="12"/>
      <c r="C206" s="89"/>
      <c r="D206" s="90"/>
      <c r="E206" s="90"/>
      <c r="F206" s="10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86"/>
      <c r="B207" s="12"/>
      <c r="C207" s="89"/>
      <c r="D207" s="90"/>
      <c r="E207" s="90"/>
      <c r="F207" s="10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86"/>
      <c r="B208" s="12"/>
      <c r="C208" s="89"/>
      <c r="D208" s="90"/>
      <c r="E208" s="90"/>
      <c r="F208" s="10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86"/>
      <c r="B209" s="12"/>
      <c r="C209" s="89"/>
      <c r="D209" s="90"/>
      <c r="E209" s="90"/>
      <c r="F209" s="10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86"/>
      <c r="B210" s="12"/>
      <c r="C210" s="89"/>
      <c r="D210" s="90"/>
      <c r="E210" s="90"/>
      <c r="F210" s="10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86"/>
      <c r="B211" s="12"/>
      <c r="C211" s="89"/>
      <c r="D211" s="90"/>
      <c r="E211" s="90"/>
      <c r="F211" s="10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86"/>
      <c r="B212" s="12"/>
      <c r="C212" s="89"/>
      <c r="D212" s="90"/>
      <c r="E212" s="90"/>
      <c r="F212" s="10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86"/>
      <c r="B213" s="12"/>
      <c r="C213" s="89"/>
      <c r="D213" s="90"/>
      <c r="E213" s="90"/>
      <c r="F213" s="10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86"/>
      <c r="B214" s="12"/>
      <c r="C214" s="89"/>
      <c r="D214" s="90"/>
      <c r="E214" s="90"/>
      <c r="F214" s="10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86"/>
      <c r="B215" s="12"/>
      <c r="C215" s="89"/>
      <c r="D215" s="90"/>
      <c r="E215" s="90"/>
      <c r="F215" s="10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86"/>
      <c r="B216" s="12"/>
      <c r="C216" s="89"/>
      <c r="D216" s="90"/>
      <c r="E216" s="90"/>
      <c r="F216" s="10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86"/>
      <c r="B217" s="12"/>
      <c r="C217" s="89"/>
      <c r="D217" s="90"/>
      <c r="E217" s="90"/>
      <c r="F217" s="10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86"/>
      <c r="B218" s="12"/>
      <c r="C218" s="89"/>
      <c r="D218" s="90"/>
      <c r="E218" s="90"/>
      <c r="F218" s="10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86"/>
      <c r="B219" s="12"/>
      <c r="C219" s="89"/>
      <c r="D219" s="90"/>
      <c r="E219" s="90"/>
      <c r="F219" s="10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86"/>
      <c r="B220" s="12"/>
      <c r="C220" s="89"/>
      <c r="D220" s="90"/>
      <c r="E220" s="90"/>
      <c r="F220" s="10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86"/>
      <c r="B221" s="12"/>
      <c r="C221" s="89"/>
      <c r="D221" s="90"/>
      <c r="E221" s="90"/>
      <c r="F221" s="10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86"/>
      <c r="B222" s="12"/>
      <c r="C222" s="89"/>
      <c r="D222" s="90"/>
      <c r="E222" s="90"/>
      <c r="F222" s="10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86"/>
      <c r="B223" s="12"/>
      <c r="C223" s="89"/>
      <c r="D223" s="90"/>
      <c r="E223" s="90"/>
      <c r="F223" s="10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86"/>
      <c r="B224" s="12"/>
      <c r="C224" s="89"/>
      <c r="D224" s="90"/>
      <c r="E224" s="90"/>
      <c r="F224" s="10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86"/>
      <c r="B225" s="12"/>
      <c r="C225" s="89"/>
      <c r="D225" s="90"/>
      <c r="E225" s="90"/>
      <c r="F225" s="10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86"/>
      <c r="B226" s="12"/>
      <c r="C226" s="89"/>
      <c r="D226" s="90"/>
      <c r="E226" s="90"/>
      <c r="F226" s="10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86"/>
      <c r="B227" s="12"/>
      <c r="C227" s="89"/>
      <c r="D227" s="90"/>
      <c r="E227" s="90"/>
      <c r="F227" s="10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86"/>
      <c r="B228" s="12"/>
      <c r="C228" s="89"/>
      <c r="D228" s="90"/>
      <c r="E228" s="90"/>
      <c r="F228" s="10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86"/>
      <c r="B229" s="12"/>
      <c r="C229" s="89"/>
      <c r="D229" s="90"/>
      <c r="E229" s="90"/>
      <c r="F229" s="10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86"/>
      <c r="B230" s="12"/>
      <c r="C230" s="89"/>
      <c r="D230" s="90"/>
      <c r="E230" s="90"/>
      <c r="F230" s="10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86"/>
      <c r="B231" s="12"/>
      <c r="C231" s="89"/>
      <c r="D231" s="90"/>
      <c r="E231" s="90"/>
      <c r="F231" s="10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86"/>
      <c r="B232" s="12"/>
      <c r="C232" s="89"/>
      <c r="D232" s="90"/>
      <c r="E232" s="90"/>
      <c r="F232" s="10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86"/>
      <c r="B233" s="12"/>
      <c r="C233" s="89"/>
      <c r="D233" s="90"/>
      <c r="E233" s="90"/>
      <c r="F233" s="10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86"/>
      <c r="B234" s="12"/>
      <c r="C234" s="89"/>
      <c r="D234" s="90"/>
      <c r="E234" s="90"/>
      <c r="F234" s="10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86"/>
      <c r="B235" s="12"/>
      <c r="C235" s="89"/>
      <c r="D235" s="90"/>
      <c r="E235" s="90"/>
      <c r="F235" s="10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86"/>
      <c r="B236" s="12"/>
      <c r="C236" s="89"/>
      <c r="D236" s="90"/>
      <c r="E236" s="90"/>
      <c r="F236" s="10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86"/>
      <c r="B237" s="12"/>
      <c r="C237" s="89"/>
      <c r="D237" s="90"/>
      <c r="E237" s="90"/>
      <c r="F237" s="10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86"/>
      <c r="B238" s="12"/>
      <c r="C238" s="89"/>
      <c r="D238" s="90"/>
      <c r="E238" s="90"/>
      <c r="F238" s="10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86"/>
      <c r="B239" s="12"/>
      <c r="C239" s="89"/>
      <c r="D239" s="90"/>
      <c r="E239" s="90"/>
      <c r="F239" s="10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86"/>
      <c r="B240" s="12"/>
      <c r="C240" s="89"/>
      <c r="D240" s="90"/>
      <c r="E240" s="90"/>
      <c r="F240" s="10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86"/>
      <c r="B241" s="12"/>
      <c r="C241" s="89"/>
      <c r="D241" s="90"/>
      <c r="E241" s="90"/>
      <c r="F241" s="10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86"/>
      <c r="B242" s="12"/>
      <c r="C242" s="89"/>
      <c r="D242" s="90"/>
      <c r="E242" s="90"/>
      <c r="F242" s="10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86"/>
      <c r="B243" s="12"/>
      <c r="C243" s="89"/>
      <c r="D243" s="90"/>
      <c r="E243" s="90"/>
      <c r="F243" s="10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86"/>
      <c r="B244" s="12"/>
      <c r="C244" s="89"/>
      <c r="D244" s="90"/>
      <c r="E244" s="90"/>
      <c r="F244" s="10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86"/>
      <c r="B245" s="12"/>
      <c r="C245" s="89"/>
      <c r="D245" s="90"/>
      <c r="E245" s="90"/>
      <c r="F245" s="10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86"/>
      <c r="B246" s="12"/>
      <c r="C246" s="89"/>
      <c r="D246" s="90"/>
      <c r="E246" s="90"/>
      <c r="F246" s="10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86"/>
      <c r="B247" s="12"/>
      <c r="C247" s="89"/>
      <c r="D247" s="90"/>
      <c r="E247" s="90"/>
      <c r="F247" s="10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86"/>
      <c r="B248" s="12"/>
      <c r="C248" s="89"/>
      <c r="D248" s="90"/>
      <c r="E248" s="90"/>
      <c r="F248" s="10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86"/>
      <c r="B249" s="12"/>
      <c r="C249" s="89"/>
      <c r="D249" s="90"/>
      <c r="E249" s="90"/>
      <c r="F249" s="10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86"/>
      <c r="B250" s="12"/>
      <c r="C250" s="89"/>
      <c r="D250" s="90"/>
      <c r="E250" s="90"/>
      <c r="F250" s="10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86"/>
      <c r="B251" s="12"/>
      <c r="C251" s="89"/>
      <c r="D251" s="90"/>
      <c r="E251" s="90"/>
      <c r="F251" s="10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86"/>
      <c r="B252" s="12"/>
      <c r="C252" s="89"/>
      <c r="D252" s="90"/>
      <c r="E252" s="90"/>
      <c r="F252" s="10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86"/>
      <c r="B253" s="12"/>
      <c r="C253" s="89"/>
      <c r="D253" s="90"/>
      <c r="E253" s="90"/>
      <c r="F253" s="10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86"/>
      <c r="B254" s="12"/>
      <c r="C254" s="89"/>
      <c r="D254" s="90"/>
      <c r="E254" s="90"/>
      <c r="F254" s="10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86"/>
      <c r="B255" s="12"/>
      <c r="C255" s="89"/>
      <c r="D255" s="90"/>
      <c r="E255" s="90"/>
      <c r="F255" s="10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86"/>
      <c r="B256" s="12"/>
      <c r="C256" s="89"/>
      <c r="D256" s="90"/>
      <c r="E256" s="90"/>
      <c r="F256" s="10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86"/>
      <c r="B257" s="12"/>
      <c r="C257" s="89"/>
      <c r="D257" s="90"/>
      <c r="E257" s="90"/>
      <c r="F257" s="10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86"/>
      <c r="B258" s="12"/>
      <c r="C258" s="89"/>
      <c r="D258" s="90"/>
      <c r="E258" s="90"/>
      <c r="F258" s="10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86"/>
      <c r="B259" s="12"/>
      <c r="C259" s="89"/>
      <c r="D259" s="90"/>
      <c r="E259" s="90"/>
      <c r="F259" s="10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86"/>
      <c r="B260" s="12"/>
      <c r="C260" s="89"/>
      <c r="D260" s="90"/>
      <c r="E260" s="90"/>
      <c r="F260" s="10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86"/>
      <c r="B261" s="12"/>
      <c r="C261" s="89"/>
      <c r="D261" s="90"/>
      <c r="E261" s="90"/>
      <c r="F261" s="10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86"/>
      <c r="B262" s="12"/>
      <c r="C262" s="89"/>
      <c r="D262" s="90"/>
      <c r="E262" s="90"/>
      <c r="F262" s="10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86"/>
      <c r="B263" s="12"/>
      <c r="C263" s="89"/>
      <c r="D263" s="90"/>
      <c r="E263" s="90"/>
      <c r="F263" s="10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86"/>
      <c r="B264" s="12"/>
      <c r="C264" s="89"/>
      <c r="D264" s="90"/>
      <c r="E264" s="90"/>
      <c r="F264" s="10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86"/>
      <c r="B265" s="12"/>
      <c r="C265" s="89"/>
      <c r="D265" s="90"/>
      <c r="E265" s="90"/>
      <c r="F265" s="10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86"/>
      <c r="B266" s="12"/>
      <c r="C266" s="89"/>
      <c r="D266" s="90"/>
      <c r="E266" s="90"/>
      <c r="F266" s="10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86"/>
      <c r="B267" s="12"/>
      <c r="C267" s="89"/>
      <c r="D267" s="90"/>
      <c r="E267" s="90"/>
      <c r="F267" s="10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86"/>
      <c r="B268" s="12"/>
      <c r="C268" s="89"/>
      <c r="D268" s="90"/>
      <c r="E268" s="90"/>
      <c r="F268" s="10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86"/>
      <c r="B269" s="12"/>
      <c r="C269" s="89"/>
      <c r="D269" s="90"/>
      <c r="E269" s="90"/>
      <c r="F269" s="10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86"/>
      <c r="B270" s="12"/>
      <c r="C270" s="89"/>
      <c r="D270" s="90"/>
      <c r="E270" s="90"/>
      <c r="F270" s="10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86"/>
      <c r="B271" s="12"/>
      <c r="C271" s="89"/>
      <c r="D271" s="90"/>
      <c r="E271" s="90"/>
      <c r="F271" s="10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86"/>
      <c r="B272" s="12"/>
      <c r="C272" s="89"/>
      <c r="D272" s="90"/>
      <c r="E272" s="90"/>
      <c r="F272" s="10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86"/>
      <c r="B273" s="12"/>
      <c r="C273" s="89"/>
      <c r="D273" s="90"/>
      <c r="E273" s="90"/>
      <c r="F273" s="10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86"/>
      <c r="B274" s="12"/>
      <c r="C274" s="89"/>
      <c r="D274" s="90"/>
      <c r="E274" s="90"/>
      <c r="F274" s="10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86"/>
      <c r="B275" s="12"/>
      <c r="C275" s="89"/>
      <c r="D275" s="90"/>
      <c r="E275" s="90"/>
      <c r="F275" s="10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86"/>
      <c r="B276" s="12"/>
      <c r="C276" s="89"/>
      <c r="D276" s="90"/>
      <c r="E276" s="90"/>
      <c r="F276" s="10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86"/>
      <c r="B277" s="12"/>
      <c r="C277" s="89"/>
      <c r="D277" s="90"/>
      <c r="E277" s="90"/>
      <c r="F277" s="10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86"/>
      <c r="B278" s="12"/>
      <c r="C278" s="89"/>
      <c r="D278" s="90"/>
      <c r="E278" s="90"/>
      <c r="F278" s="10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86"/>
      <c r="B279" s="12"/>
      <c r="C279" s="89"/>
      <c r="D279" s="90"/>
      <c r="E279" s="90"/>
      <c r="F279" s="10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86"/>
      <c r="B280" s="12"/>
      <c r="C280" s="89"/>
      <c r="D280" s="90"/>
      <c r="E280" s="90"/>
      <c r="F280" s="10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86"/>
      <c r="B281" s="12"/>
      <c r="C281" s="89"/>
      <c r="D281" s="90"/>
      <c r="E281" s="90"/>
      <c r="F281" s="10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86"/>
      <c r="B282" s="12"/>
      <c r="C282" s="89"/>
      <c r="D282" s="90"/>
      <c r="E282" s="90"/>
      <c r="F282" s="10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86"/>
      <c r="B283" s="12"/>
      <c r="C283" s="89"/>
      <c r="D283" s="90"/>
      <c r="E283" s="90"/>
      <c r="F283" s="10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86"/>
      <c r="B284" s="12"/>
      <c r="C284" s="89"/>
      <c r="D284" s="90"/>
      <c r="E284" s="90"/>
      <c r="F284" s="10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86"/>
      <c r="B285" s="12"/>
      <c r="C285" s="89"/>
      <c r="D285" s="90"/>
      <c r="E285" s="90"/>
      <c r="F285" s="10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86"/>
      <c r="B286" s="12"/>
      <c r="C286" s="89"/>
      <c r="D286" s="90"/>
      <c r="E286" s="90"/>
      <c r="F286" s="10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86"/>
      <c r="B287" s="12"/>
      <c r="C287" s="89"/>
      <c r="D287" s="90"/>
      <c r="E287" s="90"/>
      <c r="F287" s="10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86"/>
      <c r="B288" s="12"/>
      <c r="C288" s="89"/>
      <c r="D288" s="90"/>
      <c r="E288" s="90"/>
      <c r="F288" s="10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86"/>
      <c r="B289" s="12"/>
      <c r="C289" s="89"/>
      <c r="D289" s="90"/>
      <c r="E289" s="90"/>
      <c r="F289" s="10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86"/>
      <c r="B290" s="12"/>
      <c r="C290" s="89"/>
      <c r="D290" s="90"/>
      <c r="E290" s="90"/>
      <c r="F290" s="10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86"/>
      <c r="B291" s="12"/>
      <c r="C291" s="89"/>
      <c r="D291" s="90"/>
      <c r="E291" s="90"/>
      <c r="F291" s="10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86"/>
      <c r="B292" s="12"/>
      <c r="C292" s="89"/>
      <c r="D292" s="90"/>
      <c r="E292" s="90"/>
      <c r="F292" s="10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86"/>
      <c r="B293" s="12"/>
      <c r="C293" s="89"/>
      <c r="D293" s="90"/>
      <c r="E293" s="90"/>
      <c r="F293" s="10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86"/>
      <c r="B294" s="12"/>
      <c r="C294" s="89"/>
      <c r="D294" s="90"/>
      <c r="E294" s="90"/>
      <c r="F294" s="10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86"/>
      <c r="B295" s="12"/>
      <c r="C295" s="89"/>
      <c r="D295" s="90"/>
      <c r="E295" s="90"/>
      <c r="F295" s="10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86"/>
      <c r="B296" s="12"/>
      <c r="C296" s="89"/>
      <c r="D296" s="90"/>
      <c r="E296" s="90"/>
      <c r="F296" s="10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86"/>
      <c r="B297" s="12"/>
      <c r="C297" s="89"/>
      <c r="D297" s="90"/>
      <c r="E297" s="90"/>
      <c r="F297" s="10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86"/>
      <c r="B298" s="12"/>
      <c r="C298" s="89"/>
      <c r="D298" s="90"/>
      <c r="E298" s="90"/>
      <c r="F298" s="1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86"/>
      <c r="B299" s="12"/>
      <c r="C299" s="89"/>
      <c r="D299" s="90"/>
      <c r="E299" s="90"/>
      <c r="F299" s="10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86"/>
      <c r="B300" s="12"/>
      <c r="C300" s="89"/>
      <c r="D300" s="90"/>
      <c r="E300" s="90"/>
      <c r="F300" s="10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86"/>
      <c r="B301" s="12"/>
      <c r="C301" s="89"/>
      <c r="D301" s="90"/>
      <c r="E301" s="90"/>
      <c r="F301" s="10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86"/>
      <c r="B302" s="12"/>
      <c r="C302" s="89"/>
      <c r="D302" s="90"/>
      <c r="E302" s="90"/>
      <c r="F302" s="10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86"/>
      <c r="B303" s="12"/>
      <c r="C303" s="89"/>
      <c r="D303" s="90"/>
      <c r="E303" s="90"/>
      <c r="F303" s="10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86"/>
      <c r="B304" s="12"/>
      <c r="C304" s="89"/>
      <c r="D304" s="90"/>
      <c r="E304" s="90"/>
      <c r="F304" s="10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86"/>
      <c r="B305" s="12"/>
      <c r="C305" s="89"/>
      <c r="D305" s="90"/>
      <c r="E305" s="90"/>
      <c r="F305" s="10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86"/>
      <c r="B306" s="12"/>
      <c r="C306" s="89"/>
      <c r="D306" s="90"/>
      <c r="E306" s="90"/>
      <c r="F306" s="10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86"/>
      <c r="B307" s="12"/>
      <c r="C307" s="89"/>
      <c r="D307" s="90"/>
      <c r="E307" s="90"/>
      <c r="F307" s="10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86"/>
      <c r="B308" s="12"/>
      <c r="C308" s="89"/>
      <c r="D308" s="90"/>
      <c r="E308" s="90"/>
      <c r="F308" s="10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86"/>
      <c r="B309" s="12"/>
      <c r="C309" s="89"/>
      <c r="D309" s="90"/>
      <c r="E309" s="90"/>
      <c r="F309" s="10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86"/>
      <c r="B310" s="12"/>
      <c r="C310" s="89"/>
      <c r="D310" s="90"/>
      <c r="E310" s="90"/>
      <c r="F310" s="10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86"/>
      <c r="B311" s="12"/>
      <c r="C311" s="89"/>
      <c r="D311" s="90"/>
      <c r="E311" s="90"/>
      <c r="F311" s="10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86"/>
      <c r="B312" s="12"/>
      <c r="C312" s="89"/>
      <c r="D312" s="90"/>
      <c r="E312" s="90"/>
      <c r="F312" s="10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86"/>
      <c r="B313" s="12"/>
      <c r="C313" s="89"/>
      <c r="D313" s="90"/>
      <c r="E313" s="90"/>
      <c r="F313" s="10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86"/>
      <c r="B314" s="12"/>
      <c r="C314" s="89"/>
      <c r="D314" s="90"/>
      <c r="E314" s="90"/>
      <c r="F314" s="10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86"/>
      <c r="B315" s="12"/>
      <c r="C315" s="89"/>
      <c r="D315" s="90"/>
      <c r="E315" s="90"/>
      <c r="F315" s="10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86"/>
      <c r="B316" s="12"/>
      <c r="C316" s="89"/>
      <c r="D316" s="90"/>
      <c r="E316" s="90"/>
      <c r="F316" s="10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86"/>
      <c r="B317" s="12"/>
      <c r="C317" s="89"/>
      <c r="D317" s="90"/>
      <c r="E317" s="90"/>
      <c r="F317" s="10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86"/>
      <c r="B318" s="12"/>
      <c r="C318" s="89"/>
      <c r="D318" s="90"/>
      <c r="E318" s="90"/>
      <c r="F318" s="10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86"/>
      <c r="B319" s="12"/>
      <c r="C319" s="89"/>
      <c r="D319" s="90"/>
      <c r="E319" s="90"/>
      <c r="F319" s="10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86"/>
      <c r="B320" s="12"/>
      <c r="C320" s="89"/>
      <c r="D320" s="90"/>
      <c r="E320" s="90"/>
      <c r="F320" s="10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86"/>
      <c r="B321" s="12"/>
      <c r="C321" s="89"/>
      <c r="D321" s="90"/>
      <c r="E321" s="90"/>
      <c r="F321" s="10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86"/>
      <c r="B322" s="12"/>
      <c r="C322" s="89"/>
      <c r="D322" s="90"/>
      <c r="E322" s="90"/>
      <c r="F322" s="10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86"/>
      <c r="B323" s="12"/>
      <c r="C323" s="89"/>
      <c r="D323" s="90"/>
      <c r="E323" s="90"/>
      <c r="F323" s="10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86"/>
      <c r="B324" s="12"/>
      <c r="C324" s="89"/>
      <c r="D324" s="90"/>
      <c r="E324" s="90"/>
      <c r="F324" s="10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86"/>
      <c r="B325" s="12"/>
      <c r="C325" s="89"/>
      <c r="D325" s="90"/>
      <c r="E325" s="90"/>
      <c r="F325" s="10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86"/>
      <c r="B326" s="12"/>
      <c r="C326" s="89"/>
      <c r="D326" s="90"/>
      <c r="E326" s="90"/>
      <c r="F326" s="10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86"/>
      <c r="B327" s="12"/>
      <c r="C327" s="89"/>
      <c r="D327" s="90"/>
      <c r="E327" s="90"/>
      <c r="F327" s="10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86"/>
      <c r="B328" s="12"/>
      <c r="C328" s="89"/>
      <c r="D328" s="90"/>
      <c r="E328" s="90"/>
      <c r="F328" s="10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86"/>
      <c r="B329" s="12"/>
      <c r="C329" s="89"/>
      <c r="D329" s="90"/>
      <c r="E329" s="90"/>
      <c r="F329" s="10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86"/>
      <c r="B330" s="12"/>
      <c r="C330" s="89"/>
      <c r="D330" s="90"/>
      <c r="E330" s="90"/>
      <c r="F330" s="10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86"/>
      <c r="B331" s="12"/>
      <c r="C331" s="89"/>
      <c r="D331" s="90"/>
      <c r="E331" s="90"/>
      <c r="F331" s="10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86"/>
      <c r="B332" s="12"/>
      <c r="C332" s="89"/>
      <c r="D332" s="90"/>
      <c r="E332" s="90"/>
      <c r="F332" s="10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86"/>
      <c r="B333" s="12"/>
      <c r="C333" s="89"/>
      <c r="D333" s="90"/>
      <c r="E333" s="90"/>
      <c r="F333" s="10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86"/>
      <c r="B334" s="12"/>
      <c r="C334" s="89"/>
      <c r="D334" s="90"/>
      <c r="E334" s="90"/>
      <c r="F334" s="10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86"/>
      <c r="B335" s="12"/>
      <c r="C335" s="89"/>
      <c r="D335" s="90"/>
      <c r="E335" s="90"/>
      <c r="F335" s="10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86"/>
      <c r="B336" s="12"/>
      <c r="C336" s="89"/>
      <c r="D336" s="90"/>
      <c r="E336" s="90"/>
      <c r="F336" s="10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86"/>
      <c r="B337" s="12"/>
      <c r="C337" s="89"/>
      <c r="D337" s="90"/>
      <c r="E337" s="90"/>
      <c r="F337" s="10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86"/>
      <c r="B338" s="12"/>
      <c r="C338" s="89"/>
      <c r="D338" s="90"/>
      <c r="E338" s="90"/>
      <c r="F338" s="10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86"/>
      <c r="B339" s="12"/>
      <c r="C339" s="89"/>
      <c r="D339" s="90"/>
      <c r="E339" s="90"/>
      <c r="F339" s="10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86"/>
      <c r="B340" s="12"/>
      <c r="C340" s="89"/>
      <c r="D340" s="90"/>
      <c r="E340" s="90"/>
      <c r="F340" s="10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86"/>
      <c r="B341" s="12"/>
      <c r="C341" s="89"/>
      <c r="D341" s="90"/>
      <c r="E341" s="90"/>
      <c r="F341" s="10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86"/>
      <c r="B342" s="12"/>
      <c r="C342" s="89"/>
      <c r="D342" s="90"/>
      <c r="E342" s="90"/>
      <c r="F342" s="10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86"/>
      <c r="B343" s="12"/>
      <c r="C343" s="89"/>
      <c r="D343" s="90"/>
      <c r="E343" s="90"/>
      <c r="F343" s="10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86"/>
      <c r="B344" s="12"/>
      <c r="C344" s="89"/>
      <c r="D344" s="90"/>
      <c r="E344" s="90"/>
      <c r="F344" s="10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86"/>
      <c r="B345" s="12"/>
      <c r="C345" s="89"/>
      <c r="D345" s="90"/>
      <c r="E345" s="90"/>
      <c r="F345" s="10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86"/>
      <c r="B346" s="12"/>
      <c r="C346" s="89"/>
      <c r="D346" s="90"/>
      <c r="E346" s="90"/>
      <c r="F346" s="10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86"/>
      <c r="B347" s="12"/>
      <c r="C347" s="89"/>
      <c r="D347" s="90"/>
      <c r="E347" s="90"/>
      <c r="F347" s="10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86"/>
      <c r="B348" s="12"/>
      <c r="C348" s="89"/>
      <c r="D348" s="90"/>
      <c r="E348" s="90"/>
      <c r="F348" s="10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86"/>
      <c r="B349" s="12"/>
      <c r="C349" s="89"/>
      <c r="D349" s="90"/>
      <c r="E349" s="90"/>
      <c r="F349" s="10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86"/>
      <c r="B350" s="12"/>
      <c r="C350" s="89"/>
      <c r="D350" s="90"/>
      <c r="E350" s="90"/>
      <c r="F350" s="10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86"/>
      <c r="B351" s="12"/>
      <c r="C351" s="89"/>
      <c r="D351" s="90"/>
      <c r="E351" s="90"/>
      <c r="F351" s="10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86"/>
      <c r="B352" s="12"/>
      <c r="C352" s="89"/>
      <c r="D352" s="90"/>
      <c r="E352" s="90"/>
      <c r="F352" s="10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86"/>
      <c r="B353" s="12"/>
      <c r="C353" s="89"/>
      <c r="D353" s="90"/>
      <c r="E353" s="90"/>
      <c r="F353" s="10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86"/>
      <c r="B354" s="12"/>
      <c r="C354" s="89"/>
      <c r="D354" s="90"/>
      <c r="E354" s="90"/>
      <c r="F354" s="10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86"/>
      <c r="B355" s="12"/>
      <c r="C355" s="89"/>
      <c r="D355" s="90"/>
      <c r="E355" s="90"/>
      <c r="F355" s="10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86"/>
      <c r="B356" s="12"/>
      <c r="C356" s="89"/>
      <c r="D356" s="90"/>
      <c r="E356" s="90"/>
      <c r="F356" s="10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86"/>
      <c r="B357" s="12"/>
      <c r="C357" s="89"/>
      <c r="D357" s="90"/>
      <c r="E357" s="90"/>
      <c r="F357" s="10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86"/>
      <c r="B358" s="12"/>
      <c r="C358" s="89"/>
      <c r="D358" s="90"/>
      <c r="E358" s="90"/>
      <c r="F358" s="10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86"/>
      <c r="B359" s="12"/>
      <c r="C359" s="89"/>
      <c r="D359" s="90"/>
      <c r="E359" s="90"/>
      <c r="F359" s="10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86"/>
      <c r="B360" s="12"/>
      <c r="C360" s="89"/>
      <c r="D360" s="90"/>
      <c r="E360" s="90"/>
      <c r="F360" s="10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86"/>
      <c r="B361" s="12"/>
      <c r="C361" s="89"/>
      <c r="D361" s="90"/>
      <c r="E361" s="90"/>
      <c r="F361" s="10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86"/>
      <c r="B362" s="12"/>
      <c r="C362" s="89"/>
      <c r="D362" s="90"/>
      <c r="E362" s="90"/>
      <c r="F362" s="10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86"/>
      <c r="B363" s="12"/>
      <c r="C363" s="89"/>
      <c r="D363" s="90"/>
      <c r="E363" s="90"/>
      <c r="F363" s="10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86"/>
      <c r="B364" s="12"/>
      <c r="C364" s="89"/>
      <c r="D364" s="90"/>
      <c r="E364" s="90"/>
      <c r="F364" s="10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86"/>
      <c r="B365" s="12"/>
      <c r="C365" s="89"/>
      <c r="D365" s="90"/>
      <c r="E365" s="90"/>
      <c r="F365" s="10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86"/>
      <c r="B366" s="12"/>
      <c r="C366" s="89"/>
      <c r="D366" s="90"/>
      <c r="E366" s="90"/>
      <c r="F366" s="10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86"/>
      <c r="B367" s="12"/>
      <c r="C367" s="89"/>
      <c r="D367" s="90"/>
      <c r="E367" s="90"/>
      <c r="F367" s="10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86"/>
      <c r="B368" s="12"/>
      <c r="C368" s="89"/>
      <c r="D368" s="90"/>
      <c r="E368" s="90"/>
      <c r="F368" s="10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86"/>
      <c r="B369" s="12"/>
      <c r="C369" s="89"/>
      <c r="D369" s="90"/>
      <c r="E369" s="90"/>
      <c r="F369" s="10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86"/>
      <c r="B370" s="12"/>
      <c r="C370" s="89"/>
      <c r="D370" s="90"/>
      <c r="E370" s="90"/>
      <c r="F370" s="10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86"/>
      <c r="B371" s="12"/>
      <c r="C371" s="89"/>
      <c r="D371" s="90"/>
      <c r="E371" s="90"/>
      <c r="F371" s="10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86"/>
      <c r="B372" s="12"/>
      <c r="C372" s="89"/>
      <c r="D372" s="90"/>
      <c r="E372" s="90"/>
      <c r="F372" s="10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86"/>
      <c r="B373" s="12"/>
      <c r="C373" s="89"/>
      <c r="D373" s="90"/>
      <c r="E373" s="90"/>
      <c r="F373" s="10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86"/>
      <c r="B374" s="12"/>
      <c r="C374" s="89"/>
      <c r="D374" s="90"/>
      <c r="E374" s="90"/>
      <c r="F374" s="10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86"/>
      <c r="B375" s="12"/>
      <c r="C375" s="89"/>
      <c r="D375" s="90"/>
      <c r="E375" s="90"/>
      <c r="F375" s="10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86"/>
      <c r="B376" s="12"/>
      <c r="C376" s="89"/>
      <c r="D376" s="90"/>
      <c r="E376" s="90"/>
      <c r="F376" s="10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86"/>
      <c r="B377" s="12"/>
      <c r="C377" s="89"/>
      <c r="D377" s="90"/>
      <c r="E377" s="90"/>
      <c r="F377" s="10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86"/>
      <c r="B378" s="12"/>
      <c r="C378" s="89"/>
      <c r="D378" s="90"/>
      <c r="E378" s="90"/>
      <c r="F378" s="10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86"/>
      <c r="B379" s="12"/>
      <c r="C379" s="89"/>
      <c r="D379" s="90"/>
      <c r="E379" s="90"/>
      <c r="F379" s="10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86"/>
      <c r="B380" s="12"/>
      <c r="C380" s="89"/>
      <c r="D380" s="90"/>
      <c r="E380" s="90"/>
      <c r="F380" s="10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86"/>
      <c r="B381" s="12"/>
      <c r="C381" s="89"/>
      <c r="D381" s="90"/>
      <c r="E381" s="90"/>
      <c r="F381" s="10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86"/>
      <c r="B382" s="12"/>
      <c r="C382" s="89"/>
      <c r="D382" s="90"/>
      <c r="E382" s="90"/>
      <c r="F382" s="10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86"/>
      <c r="B383" s="12"/>
      <c r="C383" s="89"/>
      <c r="D383" s="90"/>
      <c r="E383" s="90"/>
      <c r="F383" s="10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86"/>
      <c r="B384" s="12"/>
      <c r="C384" s="89"/>
      <c r="D384" s="90"/>
      <c r="E384" s="90"/>
      <c r="F384" s="10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86"/>
      <c r="B385" s="12"/>
      <c r="C385" s="89"/>
      <c r="D385" s="90"/>
      <c r="E385" s="90"/>
      <c r="F385" s="10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86"/>
      <c r="B386" s="12"/>
      <c r="C386" s="89"/>
      <c r="D386" s="90"/>
      <c r="E386" s="90"/>
      <c r="F386" s="10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86"/>
      <c r="B387" s="12"/>
      <c r="C387" s="89"/>
      <c r="D387" s="90"/>
      <c r="E387" s="90"/>
      <c r="F387" s="10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86"/>
      <c r="B388" s="12"/>
      <c r="C388" s="89"/>
      <c r="D388" s="90"/>
      <c r="E388" s="90"/>
      <c r="F388" s="10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86"/>
      <c r="B389" s="12"/>
      <c r="C389" s="89"/>
      <c r="D389" s="90"/>
      <c r="E389" s="90"/>
      <c r="F389" s="10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86"/>
      <c r="B390" s="12"/>
      <c r="C390" s="89"/>
      <c r="D390" s="90"/>
      <c r="E390" s="90"/>
      <c r="F390" s="10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86"/>
      <c r="B391" s="12"/>
      <c r="C391" s="89"/>
      <c r="D391" s="90"/>
      <c r="E391" s="90"/>
      <c r="F391" s="10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86"/>
      <c r="B392" s="12"/>
      <c r="C392" s="89"/>
      <c r="D392" s="90"/>
      <c r="E392" s="90"/>
      <c r="F392" s="10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86"/>
      <c r="B393" s="12"/>
      <c r="C393" s="89"/>
      <c r="D393" s="90"/>
      <c r="E393" s="90"/>
      <c r="F393" s="10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86"/>
      <c r="B394" s="12"/>
      <c r="C394" s="89"/>
      <c r="D394" s="90"/>
      <c r="E394" s="90"/>
      <c r="F394" s="10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86"/>
      <c r="B395" s="12"/>
      <c r="C395" s="89"/>
      <c r="D395" s="90"/>
      <c r="E395" s="90"/>
      <c r="F395" s="10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86"/>
      <c r="B396" s="12"/>
      <c r="C396" s="89"/>
      <c r="D396" s="90"/>
      <c r="E396" s="90"/>
      <c r="F396" s="10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86"/>
      <c r="B397" s="12"/>
      <c r="C397" s="89"/>
      <c r="D397" s="90"/>
      <c r="E397" s="90"/>
      <c r="F397" s="10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86"/>
      <c r="B398" s="12"/>
      <c r="C398" s="89"/>
      <c r="D398" s="90"/>
      <c r="E398" s="90"/>
      <c r="F398" s="10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86"/>
      <c r="B399" s="12"/>
      <c r="C399" s="89"/>
      <c r="D399" s="90"/>
      <c r="E399" s="90"/>
      <c r="F399" s="10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86"/>
      <c r="B400" s="12"/>
      <c r="C400" s="89"/>
      <c r="D400" s="90"/>
      <c r="E400" s="90"/>
      <c r="F400" s="10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86"/>
      <c r="B401" s="12"/>
      <c r="C401" s="89"/>
      <c r="D401" s="90"/>
      <c r="E401" s="90"/>
      <c r="F401" s="10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86"/>
      <c r="B402" s="12"/>
      <c r="C402" s="89"/>
      <c r="D402" s="90"/>
      <c r="E402" s="90"/>
      <c r="F402" s="10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86"/>
      <c r="B403" s="12"/>
      <c r="C403" s="89"/>
      <c r="D403" s="90"/>
      <c r="E403" s="90"/>
      <c r="F403" s="10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86"/>
      <c r="B404" s="12"/>
      <c r="C404" s="89"/>
      <c r="D404" s="90"/>
      <c r="E404" s="90"/>
      <c r="F404" s="10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86"/>
      <c r="B405" s="12"/>
      <c r="C405" s="89"/>
      <c r="D405" s="90"/>
      <c r="E405" s="90"/>
      <c r="F405" s="10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86"/>
      <c r="B406" s="12"/>
      <c r="C406" s="89"/>
      <c r="D406" s="90"/>
      <c r="E406" s="90"/>
      <c r="F406" s="10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86"/>
      <c r="B407" s="12"/>
      <c r="C407" s="89"/>
      <c r="D407" s="90"/>
      <c r="E407" s="90"/>
      <c r="F407" s="10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86"/>
      <c r="B408" s="12"/>
      <c r="C408" s="89"/>
      <c r="D408" s="90"/>
      <c r="E408" s="90"/>
      <c r="F408" s="10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86"/>
      <c r="B409" s="12"/>
      <c r="C409" s="89"/>
      <c r="D409" s="90"/>
      <c r="E409" s="90"/>
      <c r="F409" s="10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86"/>
      <c r="B410" s="12"/>
      <c r="C410" s="89"/>
      <c r="D410" s="90"/>
      <c r="E410" s="90"/>
      <c r="F410" s="10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86"/>
      <c r="B411" s="12"/>
      <c r="C411" s="89"/>
      <c r="D411" s="90"/>
      <c r="E411" s="90"/>
      <c r="F411" s="10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86"/>
      <c r="B412" s="12"/>
      <c r="C412" s="89"/>
      <c r="D412" s="90"/>
      <c r="E412" s="90"/>
      <c r="F412" s="10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86"/>
      <c r="B413" s="12"/>
      <c r="C413" s="89"/>
      <c r="D413" s="90"/>
      <c r="E413" s="90"/>
      <c r="F413" s="10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86"/>
      <c r="B414" s="12"/>
      <c r="C414" s="89"/>
      <c r="D414" s="90"/>
      <c r="E414" s="90"/>
      <c r="F414" s="10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86"/>
      <c r="B415" s="12"/>
      <c r="C415" s="89"/>
      <c r="D415" s="90"/>
      <c r="E415" s="90"/>
      <c r="F415" s="10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86"/>
      <c r="B416" s="12"/>
      <c r="C416" s="89"/>
      <c r="D416" s="90"/>
      <c r="E416" s="90"/>
      <c r="F416" s="10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86"/>
      <c r="B417" s="12"/>
      <c r="C417" s="89"/>
      <c r="D417" s="90"/>
      <c r="E417" s="90"/>
      <c r="F417" s="10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86"/>
      <c r="B418" s="12"/>
      <c r="C418" s="89"/>
      <c r="D418" s="90"/>
      <c r="E418" s="90"/>
      <c r="F418" s="10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86"/>
      <c r="B419" s="12"/>
      <c r="C419" s="89"/>
      <c r="D419" s="90"/>
      <c r="E419" s="90"/>
      <c r="F419" s="10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86"/>
      <c r="B420" s="12"/>
      <c r="C420" s="89"/>
      <c r="D420" s="90"/>
      <c r="E420" s="90"/>
      <c r="F420" s="10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86"/>
      <c r="B421" s="12"/>
      <c r="C421" s="89"/>
      <c r="D421" s="90"/>
      <c r="E421" s="90"/>
      <c r="F421" s="10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86"/>
      <c r="B422" s="12"/>
      <c r="C422" s="89"/>
      <c r="D422" s="90"/>
      <c r="E422" s="90"/>
      <c r="F422" s="10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86"/>
      <c r="B423" s="12"/>
      <c r="C423" s="89"/>
      <c r="D423" s="90"/>
      <c r="E423" s="90"/>
      <c r="F423" s="10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86"/>
      <c r="B424" s="12"/>
      <c r="C424" s="89"/>
      <c r="D424" s="90"/>
      <c r="E424" s="90"/>
      <c r="F424" s="10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86"/>
      <c r="B425" s="12"/>
      <c r="C425" s="89"/>
      <c r="D425" s="90"/>
      <c r="E425" s="90"/>
      <c r="F425" s="10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86"/>
      <c r="B426" s="12"/>
      <c r="C426" s="89"/>
      <c r="D426" s="90"/>
      <c r="E426" s="90"/>
      <c r="F426" s="10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86"/>
      <c r="B427" s="12"/>
      <c r="C427" s="89"/>
      <c r="D427" s="90"/>
      <c r="E427" s="90"/>
      <c r="F427" s="10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86"/>
      <c r="B428" s="12"/>
      <c r="C428" s="89"/>
      <c r="D428" s="90"/>
      <c r="E428" s="90"/>
      <c r="F428" s="10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86"/>
      <c r="B429" s="12"/>
      <c r="C429" s="89"/>
      <c r="D429" s="90"/>
      <c r="E429" s="90"/>
      <c r="F429" s="10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86"/>
      <c r="B430" s="12"/>
      <c r="C430" s="89"/>
      <c r="D430" s="90"/>
      <c r="E430" s="90"/>
      <c r="F430" s="10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86"/>
      <c r="B431" s="12"/>
      <c r="C431" s="89"/>
      <c r="D431" s="90"/>
      <c r="E431" s="90"/>
      <c r="F431" s="10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86"/>
      <c r="B432" s="12"/>
      <c r="C432" s="89"/>
      <c r="D432" s="90"/>
      <c r="E432" s="90"/>
      <c r="F432" s="10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86"/>
      <c r="B433" s="12"/>
      <c r="C433" s="89"/>
      <c r="D433" s="90"/>
      <c r="E433" s="90"/>
      <c r="F433" s="10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86"/>
      <c r="B434" s="12"/>
      <c r="C434" s="89"/>
      <c r="D434" s="90"/>
      <c r="E434" s="90"/>
      <c r="F434" s="10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86"/>
      <c r="B435" s="12"/>
      <c r="C435" s="89"/>
      <c r="D435" s="90"/>
      <c r="E435" s="90"/>
      <c r="F435" s="10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86"/>
      <c r="B436" s="12"/>
      <c r="C436" s="89"/>
      <c r="D436" s="90"/>
      <c r="E436" s="90"/>
      <c r="F436" s="10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86"/>
      <c r="B437" s="12"/>
      <c r="C437" s="89"/>
      <c r="D437" s="90"/>
      <c r="E437" s="90"/>
      <c r="F437" s="10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86"/>
      <c r="B438" s="12"/>
      <c r="C438" s="89"/>
      <c r="D438" s="90"/>
      <c r="E438" s="90"/>
      <c r="F438" s="10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86"/>
      <c r="B439" s="12"/>
      <c r="C439" s="89"/>
      <c r="D439" s="90"/>
      <c r="E439" s="90"/>
      <c r="F439" s="10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86"/>
      <c r="B440" s="12"/>
      <c r="C440" s="89"/>
      <c r="D440" s="90"/>
      <c r="E440" s="90"/>
      <c r="F440" s="10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86"/>
      <c r="B441" s="12"/>
      <c r="C441" s="89"/>
      <c r="D441" s="90"/>
      <c r="E441" s="90"/>
      <c r="F441" s="10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86"/>
      <c r="B442" s="12"/>
      <c r="C442" s="89"/>
      <c r="D442" s="90"/>
      <c r="E442" s="90"/>
      <c r="F442" s="10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86"/>
      <c r="B443" s="12"/>
      <c r="C443" s="89"/>
      <c r="D443" s="90"/>
      <c r="E443" s="90"/>
      <c r="F443" s="10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86"/>
      <c r="B444" s="12"/>
      <c r="C444" s="89"/>
      <c r="D444" s="90"/>
      <c r="E444" s="90"/>
      <c r="F444" s="10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86"/>
      <c r="B445" s="12"/>
      <c r="C445" s="89"/>
      <c r="D445" s="90"/>
      <c r="E445" s="90"/>
      <c r="F445" s="10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86"/>
      <c r="B446" s="12"/>
      <c r="C446" s="89"/>
      <c r="D446" s="90"/>
      <c r="E446" s="90"/>
      <c r="F446" s="10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86"/>
      <c r="B447" s="12"/>
      <c r="C447" s="89"/>
      <c r="D447" s="90"/>
      <c r="E447" s="90"/>
      <c r="F447" s="10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86"/>
      <c r="B448" s="12"/>
      <c r="C448" s="89"/>
      <c r="D448" s="90"/>
      <c r="E448" s="90"/>
      <c r="F448" s="10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86"/>
      <c r="B449" s="12"/>
      <c r="C449" s="89"/>
      <c r="D449" s="90"/>
      <c r="E449" s="90"/>
      <c r="F449" s="10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86"/>
      <c r="B450" s="12"/>
      <c r="C450" s="89"/>
      <c r="D450" s="90"/>
      <c r="E450" s="90"/>
      <c r="F450" s="10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86"/>
      <c r="B451" s="12"/>
      <c r="C451" s="89"/>
      <c r="D451" s="90"/>
      <c r="E451" s="90"/>
      <c r="F451" s="10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86"/>
      <c r="B452" s="12"/>
      <c r="C452" s="89"/>
      <c r="D452" s="90"/>
      <c r="E452" s="90"/>
      <c r="F452" s="10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86"/>
      <c r="B453" s="12"/>
      <c r="C453" s="89"/>
      <c r="D453" s="90"/>
      <c r="E453" s="90"/>
      <c r="F453" s="10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86"/>
      <c r="B454" s="12"/>
      <c r="C454" s="89"/>
      <c r="D454" s="90"/>
      <c r="E454" s="90"/>
      <c r="F454" s="10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86"/>
      <c r="B455" s="12"/>
      <c r="C455" s="89"/>
      <c r="D455" s="90"/>
      <c r="E455" s="90"/>
      <c r="F455" s="10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86"/>
      <c r="B456" s="12"/>
      <c r="C456" s="89"/>
      <c r="D456" s="90"/>
      <c r="E456" s="90"/>
      <c r="F456" s="10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86"/>
      <c r="B457" s="12"/>
      <c r="C457" s="89"/>
      <c r="D457" s="90"/>
      <c r="E457" s="90"/>
      <c r="F457" s="10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86"/>
      <c r="B458" s="12"/>
      <c r="C458" s="89"/>
      <c r="D458" s="90"/>
      <c r="E458" s="90"/>
      <c r="F458" s="10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86"/>
      <c r="B459" s="12"/>
      <c r="C459" s="89"/>
      <c r="D459" s="90"/>
      <c r="E459" s="90"/>
      <c r="F459" s="10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86"/>
      <c r="B460" s="12"/>
      <c r="C460" s="89"/>
      <c r="D460" s="90"/>
      <c r="E460" s="90"/>
      <c r="F460" s="10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86"/>
      <c r="B461" s="12"/>
      <c r="C461" s="89"/>
      <c r="D461" s="90"/>
      <c r="E461" s="90"/>
      <c r="F461" s="10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86"/>
      <c r="B462" s="12"/>
      <c r="C462" s="89"/>
      <c r="D462" s="90"/>
      <c r="E462" s="90"/>
      <c r="F462" s="10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86"/>
      <c r="B463" s="12"/>
      <c r="C463" s="89"/>
      <c r="D463" s="90"/>
      <c r="E463" s="90"/>
      <c r="F463" s="10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86"/>
      <c r="B464" s="12"/>
      <c r="C464" s="89"/>
      <c r="D464" s="90"/>
      <c r="E464" s="90"/>
      <c r="F464" s="10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86"/>
      <c r="B465" s="12"/>
      <c r="C465" s="89"/>
      <c r="D465" s="90"/>
      <c r="E465" s="90"/>
      <c r="F465" s="10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86"/>
      <c r="B466" s="12"/>
      <c r="C466" s="89"/>
      <c r="D466" s="90"/>
      <c r="E466" s="90"/>
      <c r="F466" s="10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86"/>
      <c r="B467" s="12"/>
      <c r="C467" s="89"/>
      <c r="D467" s="90"/>
      <c r="E467" s="90"/>
      <c r="F467" s="10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86"/>
      <c r="B468" s="12"/>
      <c r="C468" s="89"/>
      <c r="D468" s="90"/>
      <c r="E468" s="90"/>
      <c r="F468" s="10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86"/>
      <c r="B469" s="12"/>
      <c r="C469" s="89"/>
      <c r="D469" s="90"/>
      <c r="E469" s="90"/>
      <c r="F469" s="10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86"/>
      <c r="B470" s="12"/>
      <c r="C470" s="89"/>
      <c r="D470" s="90"/>
      <c r="E470" s="90"/>
      <c r="F470" s="10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86"/>
      <c r="B471" s="12"/>
      <c r="C471" s="89"/>
      <c r="D471" s="90"/>
      <c r="E471" s="90"/>
      <c r="F471" s="10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86"/>
      <c r="B472" s="12"/>
      <c r="C472" s="89"/>
      <c r="D472" s="90"/>
      <c r="E472" s="90"/>
      <c r="F472" s="10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86"/>
      <c r="B473" s="12"/>
      <c r="C473" s="89"/>
      <c r="D473" s="90"/>
      <c r="E473" s="90"/>
      <c r="F473" s="10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86"/>
      <c r="B474" s="12"/>
      <c r="C474" s="89"/>
      <c r="D474" s="90"/>
      <c r="E474" s="90"/>
      <c r="F474" s="10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86"/>
      <c r="B475" s="12"/>
      <c r="C475" s="89"/>
      <c r="D475" s="90"/>
      <c r="E475" s="90"/>
      <c r="F475" s="10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86"/>
      <c r="B476" s="12"/>
      <c r="C476" s="89"/>
      <c r="D476" s="90"/>
      <c r="E476" s="90"/>
      <c r="F476" s="10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86"/>
      <c r="B477" s="12"/>
      <c r="C477" s="89"/>
      <c r="D477" s="90"/>
      <c r="E477" s="90"/>
      <c r="F477" s="10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86"/>
      <c r="B478" s="12"/>
      <c r="C478" s="89"/>
      <c r="D478" s="90"/>
      <c r="E478" s="90"/>
      <c r="F478" s="10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86"/>
      <c r="B479" s="12"/>
      <c r="C479" s="89"/>
      <c r="D479" s="90"/>
      <c r="E479" s="90"/>
      <c r="F479" s="10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86"/>
      <c r="B480" s="12"/>
      <c r="C480" s="89"/>
      <c r="D480" s="90"/>
      <c r="E480" s="90"/>
      <c r="F480" s="10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86"/>
      <c r="B481" s="12"/>
      <c r="C481" s="89"/>
      <c r="D481" s="90"/>
      <c r="E481" s="90"/>
      <c r="F481" s="10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86"/>
      <c r="B482" s="12"/>
      <c r="C482" s="89"/>
      <c r="D482" s="90"/>
      <c r="E482" s="90"/>
      <c r="F482" s="10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86"/>
      <c r="B483" s="12"/>
      <c r="C483" s="89"/>
      <c r="D483" s="90"/>
      <c r="E483" s="90"/>
      <c r="F483" s="10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86"/>
      <c r="B484" s="12"/>
      <c r="C484" s="89"/>
      <c r="D484" s="90"/>
      <c r="E484" s="90"/>
      <c r="F484" s="10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86"/>
      <c r="B485" s="12"/>
      <c r="C485" s="89"/>
      <c r="D485" s="90"/>
      <c r="E485" s="90"/>
      <c r="F485" s="10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86"/>
      <c r="B486" s="12"/>
      <c r="C486" s="89"/>
      <c r="D486" s="90"/>
      <c r="E486" s="90"/>
      <c r="F486" s="10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86"/>
      <c r="B487" s="12"/>
      <c r="C487" s="89"/>
      <c r="D487" s="90"/>
      <c r="E487" s="90"/>
      <c r="F487" s="10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86"/>
      <c r="B488" s="12"/>
      <c r="C488" s="89"/>
      <c r="D488" s="90"/>
      <c r="E488" s="90"/>
      <c r="F488" s="10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86"/>
      <c r="B489" s="12"/>
      <c r="C489" s="89"/>
      <c r="D489" s="90"/>
      <c r="E489" s="90"/>
      <c r="F489" s="10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86"/>
      <c r="B490" s="12"/>
      <c r="C490" s="89"/>
      <c r="D490" s="90"/>
      <c r="E490" s="90"/>
      <c r="F490" s="10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86"/>
      <c r="B491" s="12"/>
      <c r="C491" s="89"/>
      <c r="D491" s="90"/>
      <c r="E491" s="90"/>
      <c r="F491" s="10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86"/>
      <c r="B492" s="12"/>
      <c r="C492" s="89"/>
      <c r="D492" s="90"/>
      <c r="E492" s="90"/>
      <c r="F492" s="10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86"/>
      <c r="B493" s="12"/>
      <c r="C493" s="89"/>
      <c r="D493" s="90"/>
      <c r="E493" s="90"/>
      <c r="F493" s="10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86"/>
      <c r="B494" s="12"/>
      <c r="C494" s="89"/>
      <c r="D494" s="90"/>
      <c r="E494" s="90"/>
      <c r="F494" s="10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86"/>
      <c r="B495" s="12"/>
      <c r="C495" s="89"/>
      <c r="D495" s="90"/>
      <c r="E495" s="90"/>
      <c r="F495" s="10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86"/>
      <c r="B496" s="12"/>
      <c r="C496" s="89"/>
      <c r="D496" s="90"/>
      <c r="E496" s="90"/>
      <c r="F496" s="10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86"/>
      <c r="B497" s="12"/>
      <c r="C497" s="89"/>
      <c r="D497" s="90"/>
      <c r="E497" s="90"/>
      <c r="F497" s="10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86"/>
      <c r="B498" s="12"/>
      <c r="C498" s="89"/>
      <c r="D498" s="90"/>
      <c r="E498" s="90"/>
      <c r="F498" s="10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86"/>
      <c r="B499" s="12"/>
      <c r="C499" s="89"/>
      <c r="D499" s="90"/>
      <c r="E499" s="90"/>
      <c r="F499" s="10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86"/>
      <c r="B500" s="12"/>
      <c r="C500" s="89"/>
      <c r="D500" s="90"/>
      <c r="E500" s="90"/>
      <c r="F500" s="10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86"/>
      <c r="B501" s="12"/>
      <c r="C501" s="89"/>
      <c r="D501" s="90"/>
      <c r="E501" s="90"/>
      <c r="F501" s="10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86"/>
      <c r="B502" s="12"/>
      <c r="C502" s="89"/>
      <c r="D502" s="90"/>
      <c r="E502" s="90"/>
      <c r="F502" s="10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86"/>
      <c r="B503" s="12"/>
      <c r="C503" s="89"/>
      <c r="D503" s="90"/>
      <c r="E503" s="90"/>
      <c r="F503" s="10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86"/>
      <c r="B504" s="12"/>
      <c r="C504" s="89"/>
      <c r="D504" s="90"/>
      <c r="E504" s="90"/>
      <c r="F504" s="10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86"/>
      <c r="B505" s="12"/>
      <c r="C505" s="89"/>
      <c r="D505" s="90"/>
      <c r="E505" s="90"/>
      <c r="F505" s="10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86"/>
      <c r="B506" s="12"/>
      <c r="C506" s="89"/>
      <c r="D506" s="90"/>
      <c r="E506" s="90"/>
      <c r="F506" s="10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86"/>
      <c r="B507" s="12"/>
      <c r="C507" s="89"/>
      <c r="D507" s="90"/>
      <c r="E507" s="90"/>
      <c r="F507" s="10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86"/>
      <c r="B508" s="12"/>
      <c r="C508" s="89"/>
      <c r="D508" s="90"/>
      <c r="E508" s="90"/>
      <c r="F508" s="10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86"/>
      <c r="B509" s="12"/>
      <c r="C509" s="89"/>
      <c r="D509" s="90"/>
      <c r="E509" s="90"/>
      <c r="F509" s="10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86"/>
      <c r="B510" s="12"/>
      <c r="C510" s="89"/>
      <c r="D510" s="90"/>
      <c r="E510" s="90"/>
      <c r="F510" s="10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86"/>
      <c r="B511" s="12"/>
      <c r="C511" s="89"/>
      <c r="D511" s="90"/>
      <c r="E511" s="90"/>
      <c r="F511" s="10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86"/>
      <c r="B512" s="12"/>
      <c r="C512" s="89"/>
      <c r="D512" s="90"/>
      <c r="E512" s="90"/>
      <c r="F512" s="10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86"/>
      <c r="B513" s="12"/>
      <c r="C513" s="89"/>
      <c r="D513" s="90"/>
      <c r="E513" s="90"/>
      <c r="F513" s="10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86"/>
      <c r="B514" s="12"/>
      <c r="C514" s="89"/>
      <c r="D514" s="90"/>
      <c r="E514" s="90"/>
      <c r="F514" s="10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86"/>
      <c r="B515" s="12"/>
      <c r="C515" s="89"/>
      <c r="D515" s="90"/>
      <c r="E515" s="90"/>
      <c r="F515" s="10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86"/>
      <c r="B516" s="12"/>
      <c r="C516" s="89"/>
      <c r="D516" s="90"/>
      <c r="E516" s="90"/>
      <c r="F516" s="10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86"/>
      <c r="B517" s="12"/>
      <c r="C517" s="89"/>
      <c r="D517" s="90"/>
      <c r="E517" s="90"/>
      <c r="F517" s="10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86"/>
      <c r="B518" s="12"/>
      <c r="C518" s="89"/>
      <c r="D518" s="90"/>
      <c r="E518" s="90"/>
      <c r="F518" s="10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86"/>
      <c r="B519" s="12"/>
      <c r="C519" s="89"/>
      <c r="D519" s="90"/>
      <c r="E519" s="90"/>
      <c r="F519" s="10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86"/>
      <c r="B520" s="12"/>
      <c r="C520" s="89"/>
      <c r="D520" s="90"/>
      <c r="E520" s="90"/>
      <c r="F520" s="10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86"/>
      <c r="B521" s="12"/>
      <c r="C521" s="89"/>
      <c r="D521" s="90"/>
      <c r="E521" s="90"/>
      <c r="F521" s="10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86"/>
      <c r="B522" s="12"/>
      <c r="C522" s="89"/>
      <c r="D522" s="90"/>
      <c r="E522" s="90"/>
      <c r="F522" s="10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86"/>
      <c r="B523" s="12"/>
      <c r="C523" s="89"/>
      <c r="D523" s="90"/>
      <c r="E523" s="90"/>
      <c r="F523" s="10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86"/>
      <c r="B524" s="12"/>
      <c r="C524" s="89"/>
      <c r="D524" s="90"/>
      <c r="E524" s="90"/>
      <c r="F524" s="10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86"/>
      <c r="B525" s="12"/>
      <c r="C525" s="89"/>
      <c r="D525" s="90"/>
      <c r="E525" s="90"/>
      <c r="F525" s="10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86"/>
      <c r="B526" s="12"/>
      <c r="C526" s="89"/>
      <c r="D526" s="90"/>
      <c r="E526" s="90"/>
      <c r="F526" s="10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86"/>
      <c r="B527" s="12"/>
      <c r="C527" s="89"/>
      <c r="D527" s="90"/>
      <c r="E527" s="90"/>
      <c r="F527" s="10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86"/>
      <c r="B528" s="12"/>
      <c r="C528" s="89"/>
      <c r="D528" s="90"/>
      <c r="E528" s="90"/>
      <c r="F528" s="10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86"/>
      <c r="B529" s="12"/>
      <c r="C529" s="89"/>
      <c r="D529" s="90"/>
      <c r="E529" s="90"/>
      <c r="F529" s="10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86"/>
      <c r="B530" s="12"/>
      <c r="C530" s="89"/>
      <c r="D530" s="90"/>
      <c r="E530" s="90"/>
      <c r="F530" s="10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86"/>
      <c r="B531" s="12"/>
      <c r="C531" s="89"/>
      <c r="D531" s="90"/>
      <c r="E531" s="90"/>
      <c r="F531" s="10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86"/>
      <c r="B532" s="12"/>
      <c r="C532" s="89"/>
      <c r="D532" s="90"/>
      <c r="E532" s="90"/>
      <c r="F532" s="10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86"/>
      <c r="B533" s="12"/>
      <c r="C533" s="89"/>
      <c r="D533" s="90"/>
      <c r="E533" s="90"/>
      <c r="F533" s="10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86"/>
      <c r="B534" s="12"/>
      <c r="C534" s="89"/>
      <c r="D534" s="90"/>
      <c r="E534" s="90"/>
      <c r="F534" s="10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86"/>
      <c r="B535" s="12"/>
      <c r="C535" s="89"/>
      <c r="D535" s="90"/>
      <c r="E535" s="90"/>
      <c r="F535" s="10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86"/>
      <c r="B536" s="12"/>
      <c r="C536" s="89"/>
      <c r="D536" s="90"/>
      <c r="E536" s="90"/>
      <c r="F536" s="10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86"/>
      <c r="B537" s="12"/>
      <c r="C537" s="89"/>
      <c r="D537" s="90"/>
      <c r="E537" s="90"/>
      <c r="F537" s="10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86"/>
      <c r="B538" s="12"/>
      <c r="C538" s="89"/>
      <c r="D538" s="90"/>
      <c r="E538" s="90"/>
      <c r="F538" s="10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86"/>
      <c r="B539" s="12"/>
      <c r="C539" s="89"/>
      <c r="D539" s="90"/>
      <c r="E539" s="90"/>
      <c r="F539" s="10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86"/>
      <c r="B540" s="12"/>
      <c r="C540" s="89"/>
      <c r="D540" s="90"/>
      <c r="E540" s="90"/>
      <c r="F540" s="10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86"/>
      <c r="B541" s="12"/>
      <c r="C541" s="89"/>
      <c r="D541" s="90"/>
      <c r="E541" s="90"/>
      <c r="F541" s="10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86"/>
      <c r="B542" s="12"/>
      <c r="C542" s="89"/>
      <c r="D542" s="90"/>
      <c r="E542" s="90"/>
      <c r="F542" s="10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86"/>
      <c r="B543" s="12"/>
      <c r="C543" s="89"/>
      <c r="D543" s="90"/>
      <c r="E543" s="90"/>
      <c r="F543" s="10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86"/>
      <c r="B544" s="12"/>
      <c r="C544" s="89"/>
      <c r="D544" s="90"/>
      <c r="E544" s="90"/>
      <c r="F544" s="10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86"/>
      <c r="B545" s="12"/>
      <c r="C545" s="89"/>
      <c r="D545" s="90"/>
      <c r="E545" s="90"/>
      <c r="F545" s="10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86"/>
      <c r="B546" s="12"/>
      <c r="C546" s="89"/>
      <c r="D546" s="90"/>
      <c r="E546" s="90"/>
      <c r="F546" s="10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86"/>
      <c r="B547" s="12"/>
      <c r="C547" s="89"/>
      <c r="D547" s="90"/>
      <c r="E547" s="90"/>
      <c r="F547" s="10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86"/>
      <c r="B548" s="12"/>
      <c r="C548" s="89"/>
      <c r="D548" s="90"/>
      <c r="E548" s="90"/>
      <c r="F548" s="10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86"/>
      <c r="B549" s="12"/>
      <c r="C549" s="89"/>
      <c r="D549" s="90"/>
      <c r="E549" s="90"/>
      <c r="F549" s="10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86"/>
      <c r="B550" s="12"/>
      <c r="C550" s="89"/>
      <c r="D550" s="90"/>
      <c r="E550" s="90"/>
      <c r="F550" s="10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86"/>
      <c r="B551" s="12"/>
      <c r="C551" s="89"/>
      <c r="D551" s="90"/>
      <c r="E551" s="90"/>
      <c r="F551" s="10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86"/>
      <c r="B552" s="12"/>
      <c r="C552" s="89"/>
      <c r="D552" s="90"/>
      <c r="E552" s="90"/>
      <c r="F552" s="10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86"/>
      <c r="B553" s="12"/>
      <c r="C553" s="89"/>
      <c r="D553" s="90"/>
      <c r="E553" s="90"/>
      <c r="F553" s="10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86"/>
      <c r="B554" s="12"/>
      <c r="C554" s="89"/>
      <c r="D554" s="90"/>
      <c r="E554" s="90"/>
      <c r="F554" s="10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86"/>
      <c r="B555" s="12"/>
      <c r="C555" s="89"/>
      <c r="D555" s="90"/>
      <c r="E555" s="90"/>
      <c r="F555" s="10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86"/>
      <c r="B556" s="12"/>
      <c r="C556" s="89"/>
      <c r="D556" s="90"/>
      <c r="E556" s="90"/>
      <c r="F556" s="10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86"/>
      <c r="B557" s="12"/>
      <c r="C557" s="89"/>
      <c r="D557" s="90"/>
      <c r="E557" s="90"/>
      <c r="F557" s="10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86"/>
      <c r="B558" s="12"/>
      <c r="C558" s="89"/>
      <c r="D558" s="90"/>
      <c r="E558" s="90"/>
      <c r="F558" s="10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86"/>
      <c r="B559" s="12"/>
      <c r="C559" s="89"/>
      <c r="D559" s="90"/>
      <c r="E559" s="90"/>
      <c r="F559" s="10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86"/>
      <c r="B560" s="12"/>
      <c r="C560" s="89"/>
      <c r="D560" s="90"/>
      <c r="E560" s="90"/>
      <c r="F560" s="10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86"/>
      <c r="B561" s="12"/>
      <c r="C561" s="89"/>
      <c r="D561" s="90"/>
      <c r="E561" s="90"/>
      <c r="F561" s="10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86"/>
      <c r="B562" s="12"/>
      <c r="C562" s="89"/>
      <c r="D562" s="90"/>
      <c r="E562" s="90"/>
      <c r="F562" s="10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86"/>
      <c r="B563" s="12"/>
      <c r="C563" s="89"/>
      <c r="D563" s="90"/>
      <c r="E563" s="90"/>
      <c r="F563" s="10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86"/>
      <c r="B564" s="12"/>
      <c r="C564" s="89"/>
      <c r="D564" s="90"/>
      <c r="E564" s="90"/>
      <c r="F564" s="10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86"/>
      <c r="B565" s="12"/>
      <c r="C565" s="89"/>
      <c r="D565" s="90"/>
      <c r="E565" s="90"/>
      <c r="F565" s="10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86"/>
      <c r="B566" s="12"/>
      <c r="C566" s="89"/>
      <c r="D566" s="90"/>
      <c r="E566" s="90"/>
      <c r="F566" s="10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86"/>
      <c r="B567" s="12"/>
      <c r="C567" s="89"/>
      <c r="D567" s="90"/>
      <c r="E567" s="90"/>
      <c r="F567" s="10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86"/>
      <c r="B568" s="12"/>
      <c r="C568" s="89"/>
      <c r="D568" s="90"/>
      <c r="E568" s="90"/>
      <c r="F568" s="10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86"/>
      <c r="B569" s="12"/>
      <c r="C569" s="89"/>
      <c r="D569" s="90"/>
      <c r="E569" s="90"/>
      <c r="F569" s="10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86"/>
      <c r="B570" s="12"/>
      <c r="C570" s="89"/>
      <c r="D570" s="90"/>
      <c r="E570" s="90"/>
      <c r="F570" s="10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86"/>
      <c r="B571" s="12"/>
      <c r="C571" s="89"/>
      <c r="D571" s="90"/>
      <c r="E571" s="90"/>
      <c r="F571" s="10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86"/>
      <c r="B572" s="12"/>
      <c r="C572" s="89"/>
      <c r="D572" s="90"/>
      <c r="E572" s="90"/>
      <c r="F572" s="10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86"/>
      <c r="B573" s="12"/>
      <c r="C573" s="89"/>
      <c r="D573" s="90"/>
      <c r="E573" s="90"/>
      <c r="F573" s="10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86"/>
      <c r="B574" s="12"/>
      <c r="C574" s="89"/>
      <c r="D574" s="90"/>
      <c r="E574" s="90"/>
      <c r="F574" s="10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86"/>
      <c r="B575" s="12"/>
      <c r="C575" s="89"/>
      <c r="D575" s="90"/>
      <c r="E575" s="90"/>
      <c r="F575" s="10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86"/>
      <c r="B576" s="12"/>
      <c r="C576" s="89"/>
      <c r="D576" s="90"/>
      <c r="E576" s="90"/>
      <c r="F576" s="10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86"/>
      <c r="B577" s="12"/>
      <c r="C577" s="89"/>
      <c r="D577" s="90"/>
      <c r="E577" s="90"/>
      <c r="F577" s="10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86"/>
      <c r="B578" s="12"/>
      <c r="C578" s="89"/>
      <c r="D578" s="90"/>
      <c r="E578" s="90"/>
      <c r="F578" s="10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86"/>
      <c r="B579" s="12"/>
      <c r="C579" s="89"/>
      <c r="D579" s="90"/>
      <c r="E579" s="90"/>
      <c r="F579" s="10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86"/>
      <c r="B580" s="12"/>
      <c r="C580" s="89"/>
      <c r="D580" s="90"/>
      <c r="E580" s="90"/>
      <c r="F580" s="10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86"/>
      <c r="B581" s="12"/>
      <c r="C581" s="89"/>
      <c r="D581" s="90"/>
      <c r="E581" s="90"/>
      <c r="F581" s="10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86"/>
      <c r="B582" s="12"/>
      <c r="C582" s="89"/>
      <c r="D582" s="90"/>
      <c r="E582" s="90"/>
      <c r="F582" s="10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86"/>
      <c r="B583" s="12"/>
      <c r="C583" s="89"/>
      <c r="D583" s="90"/>
      <c r="E583" s="90"/>
      <c r="F583" s="10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86"/>
      <c r="B584" s="12"/>
      <c r="C584" s="89"/>
      <c r="D584" s="90"/>
      <c r="E584" s="90"/>
      <c r="F584" s="10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86"/>
      <c r="B585" s="12"/>
      <c r="C585" s="89"/>
      <c r="D585" s="90"/>
      <c r="E585" s="90"/>
      <c r="F585" s="10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86"/>
      <c r="B586" s="12"/>
      <c r="C586" s="89"/>
      <c r="D586" s="90"/>
      <c r="E586" s="90"/>
      <c r="F586" s="10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86"/>
      <c r="B587" s="12"/>
      <c r="C587" s="89"/>
      <c r="D587" s="90"/>
      <c r="E587" s="90"/>
      <c r="F587" s="10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86"/>
      <c r="B588" s="12"/>
      <c r="C588" s="89"/>
      <c r="D588" s="90"/>
      <c r="E588" s="90"/>
      <c r="F588" s="10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86"/>
      <c r="B589" s="12"/>
      <c r="C589" s="89"/>
      <c r="D589" s="90"/>
      <c r="E589" s="90"/>
      <c r="F589" s="10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86"/>
      <c r="B590" s="12"/>
      <c r="C590" s="89"/>
      <c r="D590" s="90"/>
      <c r="E590" s="90"/>
      <c r="F590" s="10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86"/>
      <c r="B591" s="12"/>
      <c r="C591" s="89"/>
      <c r="D591" s="90"/>
      <c r="E591" s="90"/>
      <c r="F591" s="10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86"/>
      <c r="B592" s="12"/>
      <c r="C592" s="89"/>
      <c r="D592" s="90"/>
      <c r="E592" s="90"/>
      <c r="F592" s="10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86"/>
      <c r="B593" s="12"/>
      <c r="C593" s="89"/>
      <c r="D593" s="90"/>
      <c r="E593" s="90"/>
      <c r="F593" s="10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86"/>
      <c r="B594" s="12"/>
      <c r="C594" s="89"/>
      <c r="D594" s="90"/>
      <c r="E594" s="90"/>
      <c r="F594" s="10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86"/>
      <c r="B595" s="12"/>
      <c r="C595" s="89"/>
      <c r="D595" s="90"/>
      <c r="E595" s="90"/>
      <c r="F595" s="10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86"/>
      <c r="B596" s="12"/>
      <c r="C596" s="89"/>
      <c r="D596" s="90"/>
      <c r="E596" s="90"/>
      <c r="F596" s="10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86"/>
      <c r="B597" s="12"/>
      <c r="C597" s="89"/>
      <c r="D597" s="90"/>
      <c r="E597" s="90"/>
      <c r="F597" s="10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86"/>
      <c r="B598" s="12"/>
      <c r="C598" s="89"/>
      <c r="D598" s="90"/>
      <c r="E598" s="90"/>
      <c r="F598" s="10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86"/>
      <c r="B599" s="12"/>
      <c r="C599" s="89"/>
      <c r="D599" s="90"/>
      <c r="E599" s="90"/>
      <c r="F599" s="10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86"/>
      <c r="B600" s="12"/>
      <c r="C600" s="89"/>
      <c r="D600" s="90"/>
      <c r="E600" s="90"/>
      <c r="F600" s="10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86"/>
      <c r="B601" s="12"/>
      <c r="C601" s="89"/>
      <c r="D601" s="90"/>
      <c r="E601" s="90"/>
      <c r="F601" s="10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86"/>
      <c r="B602" s="12"/>
      <c r="C602" s="89"/>
      <c r="D602" s="90"/>
      <c r="E602" s="90"/>
      <c r="F602" s="10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86"/>
      <c r="B603" s="12"/>
      <c r="C603" s="89"/>
      <c r="D603" s="90"/>
      <c r="E603" s="90"/>
      <c r="F603" s="10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86"/>
      <c r="B604" s="12"/>
      <c r="C604" s="89"/>
      <c r="D604" s="90"/>
      <c r="E604" s="90"/>
      <c r="F604" s="10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86"/>
      <c r="B605" s="12"/>
      <c r="C605" s="89"/>
      <c r="D605" s="90"/>
      <c r="E605" s="90"/>
      <c r="F605" s="10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86"/>
      <c r="B606" s="12"/>
      <c r="C606" s="89"/>
      <c r="D606" s="90"/>
      <c r="E606" s="90"/>
      <c r="F606" s="10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86"/>
      <c r="B607" s="12"/>
      <c r="C607" s="89"/>
      <c r="D607" s="90"/>
      <c r="E607" s="90"/>
      <c r="F607" s="10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86"/>
      <c r="B608" s="12"/>
      <c r="C608" s="89"/>
      <c r="D608" s="90"/>
      <c r="E608" s="90"/>
      <c r="F608" s="10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86"/>
      <c r="B609" s="12"/>
      <c r="C609" s="89"/>
      <c r="D609" s="90"/>
      <c r="E609" s="90"/>
      <c r="F609" s="10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86"/>
      <c r="B610" s="12"/>
      <c r="C610" s="89"/>
      <c r="D610" s="90"/>
      <c r="E610" s="90"/>
      <c r="F610" s="10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86"/>
      <c r="B611" s="12"/>
      <c r="C611" s="89"/>
      <c r="D611" s="90"/>
      <c r="E611" s="90"/>
      <c r="F611" s="10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86"/>
      <c r="B612" s="12"/>
      <c r="C612" s="89"/>
      <c r="D612" s="90"/>
      <c r="E612" s="90"/>
      <c r="F612" s="10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86"/>
      <c r="B613" s="12"/>
      <c r="C613" s="89"/>
      <c r="D613" s="90"/>
      <c r="E613" s="90"/>
      <c r="F613" s="10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86"/>
      <c r="B614" s="12"/>
      <c r="C614" s="89"/>
      <c r="D614" s="90"/>
      <c r="E614" s="90"/>
      <c r="F614" s="10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86"/>
      <c r="B615" s="12"/>
      <c r="C615" s="89"/>
      <c r="D615" s="90"/>
      <c r="E615" s="90"/>
      <c r="F615" s="10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86"/>
      <c r="B616" s="12"/>
      <c r="C616" s="89"/>
      <c r="D616" s="90"/>
      <c r="E616" s="90"/>
      <c r="F616" s="10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86"/>
      <c r="B617" s="12"/>
      <c r="C617" s="89"/>
      <c r="D617" s="90"/>
      <c r="E617" s="90"/>
      <c r="F617" s="10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86"/>
      <c r="B618" s="12"/>
      <c r="C618" s="89"/>
      <c r="D618" s="90"/>
      <c r="E618" s="90"/>
      <c r="F618" s="10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86"/>
      <c r="B619" s="12"/>
      <c r="C619" s="89"/>
      <c r="D619" s="90"/>
      <c r="E619" s="90"/>
      <c r="F619" s="10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86"/>
      <c r="B620" s="12"/>
      <c r="C620" s="89"/>
      <c r="D620" s="90"/>
      <c r="E620" s="90"/>
      <c r="F620" s="10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86"/>
      <c r="B621" s="12"/>
      <c r="C621" s="89"/>
      <c r="D621" s="90"/>
      <c r="E621" s="90"/>
      <c r="F621" s="10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86"/>
      <c r="B622" s="12"/>
      <c r="C622" s="89"/>
      <c r="D622" s="90"/>
      <c r="E622" s="90"/>
      <c r="F622" s="10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86"/>
      <c r="B623" s="12"/>
      <c r="C623" s="89"/>
      <c r="D623" s="90"/>
      <c r="E623" s="90"/>
      <c r="F623" s="10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86"/>
      <c r="B624" s="12"/>
      <c r="C624" s="89"/>
      <c r="D624" s="90"/>
      <c r="E624" s="90"/>
      <c r="F624" s="10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86"/>
      <c r="B625" s="12"/>
      <c r="C625" s="89"/>
      <c r="D625" s="90"/>
      <c r="E625" s="90"/>
      <c r="F625" s="10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86"/>
      <c r="B626" s="12"/>
      <c r="C626" s="89"/>
      <c r="D626" s="90"/>
      <c r="E626" s="90"/>
      <c r="F626" s="10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86"/>
      <c r="B627" s="12"/>
      <c r="C627" s="89"/>
      <c r="D627" s="90"/>
      <c r="E627" s="90"/>
      <c r="F627" s="10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86"/>
      <c r="B628" s="12"/>
      <c r="C628" s="89"/>
      <c r="D628" s="90"/>
      <c r="E628" s="90"/>
      <c r="F628" s="10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86"/>
      <c r="B629" s="12"/>
      <c r="C629" s="89"/>
      <c r="D629" s="90"/>
      <c r="E629" s="90"/>
      <c r="F629" s="10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86"/>
      <c r="B630" s="12"/>
      <c r="C630" s="89"/>
      <c r="D630" s="90"/>
      <c r="E630" s="90"/>
      <c r="F630" s="10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86"/>
      <c r="B631" s="12"/>
      <c r="C631" s="89"/>
      <c r="D631" s="90"/>
      <c r="E631" s="90"/>
      <c r="F631" s="10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86"/>
      <c r="B632" s="12"/>
      <c r="C632" s="89"/>
      <c r="D632" s="90"/>
      <c r="E632" s="90"/>
      <c r="F632" s="10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86"/>
      <c r="B633" s="12"/>
      <c r="C633" s="89"/>
      <c r="D633" s="90"/>
      <c r="E633" s="90"/>
      <c r="F633" s="10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86"/>
      <c r="B634" s="12"/>
      <c r="C634" s="89"/>
      <c r="D634" s="90"/>
      <c r="E634" s="90"/>
      <c r="F634" s="10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86"/>
      <c r="B635" s="12"/>
      <c r="C635" s="89"/>
      <c r="D635" s="90"/>
      <c r="E635" s="90"/>
      <c r="F635" s="10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86"/>
      <c r="B636" s="12"/>
      <c r="C636" s="89"/>
      <c r="D636" s="90"/>
      <c r="E636" s="90"/>
      <c r="F636" s="10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86"/>
      <c r="B637" s="12"/>
      <c r="C637" s="89"/>
      <c r="D637" s="90"/>
      <c r="E637" s="90"/>
      <c r="F637" s="10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86"/>
      <c r="B638" s="12"/>
      <c r="C638" s="89"/>
      <c r="D638" s="90"/>
      <c r="E638" s="90"/>
      <c r="F638" s="10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86"/>
      <c r="B639" s="12"/>
      <c r="C639" s="89"/>
      <c r="D639" s="90"/>
      <c r="E639" s="90"/>
      <c r="F639" s="10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86"/>
      <c r="B640" s="12"/>
      <c r="C640" s="89"/>
      <c r="D640" s="90"/>
      <c r="E640" s="90"/>
      <c r="F640" s="10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86"/>
      <c r="B641" s="12"/>
      <c r="C641" s="89"/>
      <c r="D641" s="90"/>
      <c r="E641" s="90"/>
      <c r="F641" s="10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86"/>
      <c r="B642" s="12"/>
      <c r="C642" s="89"/>
      <c r="D642" s="90"/>
      <c r="E642" s="90"/>
      <c r="F642" s="10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86"/>
      <c r="B643" s="12"/>
      <c r="C643" s="89"/>
      <c r="D643" s="90"/>
      <c r="E643" s="90"/>
      <c r="F643" s="10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86"/>
      <c r="B644" s="12"/>
      <c r="C644" s="89"/>
      <c r="D644" s="90"/>
      <c r="E644" s="90"/>
      <c r="F644" s="10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86"/>
      <c r="B645" s="12"/>
      <c r="C645" s="89"/>
      <c r="D645" s="90"/>
      <c r="E645" s="90"/>
      <c r="F645" s="10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86"/>
      <c r="B646" s="12"/>
      <c r="C646" s="89"/>
      <c r="D646" s="90"/>
      <c r="E646" s="90"/>
      <c r="F646" s="10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86"/>
      <c r="B647" s="12"/>
      <c r="C647" s="89"/>
      <c r="D647" s="90"/>
      <c r="E647" s="90"/>
      <c r="F647" s="10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86"/>
      <c r="B648" s="12"/>
      <c r="C648" s="89"/>
      <c r="D648" s="90"/>
      <c r="E648" s="90"/>
      <c r="F648" s="10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86"/>
      <c r="B649" s="12"/>
      <c r="C649" s="89"/>
      <c r="D649" s="90"/>
      <c r="E649" s="90"/>
      <c r="F649" s="10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86"/>
      <c r="B650" s="12"/>
      <c r="C650" s="89"/>
      <c r="D650" s="90"/>
      <c r="E650" s="90"/>
      <c r="F650" s="10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86"/>
      <c r="B651" s="12"/>
      <c r="C651" s="89"/>
      <c r="D651" s="90"/>
      <c r="E651" s="90"/>
      <c r="F651" s="10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86"/>
      <c r="B652" s="12"/>
      <c r="C652" s="89"/>
      <c r="D652" s="90"/>
      <c r="E652" s="90"/>
      <c r="F652" s="10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86"/>
      <c r="B653" s="12"/>
      <c r="C653" s="89"/>
      <c r="D653" s="90"/>
      <c r="E653" s="90"/>
      <c r="F653" s="10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86"/>
      <c r="B654" s="12"/>
      <c r="C654" s="89"/>
      <c r="D654" s="90"/>
      <c r="E654" s="90"/>
      <c r="F654" s="10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86"/>
      <c r="B655" s="12"/>
      <c r="C655" s="89"/>
      <c r="D655" s="90"/>
      <c r="E655" s="90"/>
      <c r="F655" s="10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86"/>
      <c r="B656" s="12"/>
      <c r="C656" s="89"/>
      <c r="D656" s="90"/>
      <c r="E656" s="90"/>
      <c r="F656" s="10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86"/>
      <c r="B657" s="12"/>
      <c r="C657" s="89"/>
      <c r="D657" s="90"/>
      <c r="E657" s="90"/>
      <c r="F657" s="10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86"/>
      <c r="B658" s="12"/>
      <c r="C658" s="89"/>
      <c r="D658" s="90"/>
      <c r="E658" s="90"/>
      <c r="F658" s="10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86"/>
      <c r="B659" s="12"/>
      <c r="C659" s="89"/>
      <c r="D659" s="90"/>
      <c r="E659" s="90"/>
      <c r="F659" s="10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86"/>
      <c r="B660" s="12"/>
      <c r="C660" s="89"/>
      <c r="D660" s="90"/>
      <c r="E660" s="90"/>
      <c r="F660" s="10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86"/>
      <c r="B661" s="12"/>
      <c r="C661" s="89"/>
      <c r="D661" s="90"/>
      <c r="E661" s="90"/>
      <c r="F661" s="10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86"/>
      <c r="B662" s="12"/>
      <c r="C662" s="89"/>
      <c r="D662" s="90"/>
      <c r="E662" s="90"/>
      <c r="F662" s="10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86"/>
      <c r="B663" s="12"/>
      <c r="C663" s="89"/>
      <c r="D663" s="90"/>
      <c r="E663" s="90"/>
      <c r="F663" s="10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86"/>
      <c r="B664" s="12"/>
      <c r="C664" s="89"/>
      <c r="D664" s="90"/>
      <c r="E664" s="90"/>
      <c r="F664" s="10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86"/>
      <c r="B665" s="12"/>
      <c r="C665" s="89"/>
      <c r="D665" s="90"/>
      <c r="E665" s="90"/>
      <c r="F665" s="10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86"/>
      <c r="B666" s="12"/>
      <c r="C666" s="89"/>
      <c r="D666" s="90"/>
      <c r="E666" s="90"/>
      <c r="F666" s="10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86"/>
      <c r="B667" s="12"/>
      <c r="C667" s="89"/>
      <c r="D667" s="90"/>
      <c r="E667" s="90"/>
      <c r="F667" s="10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86"/>
      <c r="B668" s="12"/>
      <c r="C668" s="89"/>
      <c r="D668" s="90"/>
      <c r="E668" s="90"/>
      <c r="F668" s="10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86"/>
      <c r="B669" s="12"/>
      <c r="C669" s="89"/>
      <c r="D669" s="90"/>
      <c r="E669" s="90"/>
      <c r="F669" s="10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86"/>
      <c r="B670" s="12"/>
      <c r="C670" s="89"/>
      <c r="D670" s="90"/>
      <c r="E670" s="90"/>
      <c r="F670" s="10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86"/>
      <c r="B671" s="12"/>
      <c r="C671" s="89"/>
      <c r="D671" s="90"/>
      <c r="E671" s="90"/>
      <c r="F671" s="10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86"/>
      <c r="B672" s="12"/>
      <c r="C672" s="89"/>
      <c r="D672" s="90"/>
      <c r="E672" s="90"/>
      <c r="F672" s="10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86"/>
      <c r="B673" s="12"/>
      <c r="C673" s="89"/>
      <c r="D673" s="90"/>
      <c r="E673" s="90"/>
      <c r="F673" s="10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86"/>
      <c r="B674" s="12"/>
      <c r="C674" s="89"/>
      <c r="D674" s="90"/>
      <c r="E674" s="90"/>
      <c r="F674" s="10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86"/>
      <c r="B675" s="12"/>
      <c r="C675" s="89"/>
      <c r="D675" s="90"/>
      <c r="E675" s="90"/>
      <c r="F675" s="10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86"/>
      <c r="B676" s="12"/>
      <c r="C676" s="89"/>
      <c r="D676" s="90"/>
      <c r="E676" s="90"/>
      <c r="F676" s="10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86"/>
      <c r="B677" s="12"/>
      <c r="C677" s="89"/>
      <c r="D677" s="90"/>
      <c r="E677" s="90"/>
      <c r="F677" s="10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86"/>
      <c r="B678" s="12"/>
      <c r="C678" s="89"/>
      <c r="D678" s="90"/>
      <c r="E678" s="90"/>
      <c r="F678" s="10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86"/>
      <c r="B679" s="12"/>
      <c r="C679" s="89"/>
      <c r="D679" s="90"/>
      <c r="E679" s="90"/>
      <c r="F679" s="10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86"/>
      <c r="B680" s="12"/>
      <c r="C680" s="89"/>
      <c r="D680" s="90"/>
      <c r="E680" s="90"/>
      <c r="F680" s="10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86"/>
      <c r="B681" s="12"/>
      <c r="C681" s="89"/>
      <c r="D681" s="90"/>
      <c r="E681" s="90"/>
      <c r="F681" s="10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86"/>
      <c r="B682" s="12"/>
      <c r="C682" s="89"/>
      <c r="D682" s="90"/>
      <c r="E682" s="90"/>
      <c r="F682" s="10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86"/>
      <c r="B683" s="12"/>
      <c r="C683" s="89"/>
      <c r="D683" s="90"/>
      <c r="E683" s="90"/>
      <c r="F683" s="10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86"/>
      <c r="B684" s="12"/>
      <c r="C684" s="89"/>
      <c r="D684" s="90"/>
      <c r="E684" s="90"/>
      <c r="F684" s="10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86"/>
      <c r="B685" s="12"/>
      <c r="C685" s="89"/>
      <c r="D685" s="90"/>
      <c r="E685" s="90"/>
      <c r="F685" s="10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86"/>
      <c r="B686" s="12"/>
      <c r="C686" s="89"/>
      <c r="D686" s="90"/>
      <c r="E686" s="90"/>
      <c r="F686" s="10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86"/>
      <c r="B687" s="12"/>
      <c r="C687" s="89"/>
      <c r="D687" s="90"/>
      <c r="E687" s="90"/>
      <c r="F687" s="10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86"/>
      <c r="B688" s="12"/>
      <c r="C688" s="89"/>
      <c r="D688" s="90"/>
      <c r="E688" s="90"/>
      <c r="F688" s="10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86"/>
      <c r="B689" s="12"/>
      <c r="C689" s="89"/>
      <c r="D689" s="90"/>
      <c r="E689" s="90"/>
      <c r="F689" s="10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86"/>
      <c r="B690" s="12"/>
      <c r="C690" s="89"/>
      <c r="D690" s="90"/>
      <c r="E690" s="90"/>
      <c r="F690" s="10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86"/>
      <c r="B691" s="12"/>
      <c r="C691" s="89"/>
      <c r="D691" s="90"/>
      <c r="E691" s="90"/>
      <c r="F691" s="10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86"/>
      <c r="B692" s="12"/>
      <c r="C692" s="89"/>
      <c r="D692" s="90"/>
      <c r="E692" s="90"/>
      <c r="F692" s="10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86"/>
      <c r="B693" s="12"/>
      <c r="C693" s="89"/>
      <c r="D693" s="90"/>
      <c r="E693" s="90"/>
      <c r="F693" s="10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86"/>
      <c r="B694" s="12"/>
      <c r="C694" s="89"/>
      <c r="D694" s="90"/>
      <c r="E694" s="90"/>
      <c r="F694" s="10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86"/>
      <c r="B695" s="12"/>
      <c r="C695" s="89"/>
      <c r="D695" s="90"/>
      <c r="E695" s="90"/>
      <c r="F695" s="10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86"/>
      <c r="B696" s="12"/>
      <c r="C696" s="89"/>
      <c r="D696" s="90"/>
      <c r="E696" s="90"/>
      <c r="F696" s="10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86"/>
      <c r="B697" s="12"/>
      <c r="C697" s="89"/>
      <c r="D697" s="90"/>
      <c r="E697" s="90"/>
      <c r="F697" s="10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86"/>
      <c r="B698" s="12"/>
      <c r="C698" s="89"/>
      <c r="D698" s="90"/>
      <c r="E698" s="90"/>
      <c r="F698" s="10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86"/>
      <c r="B699" s="12"/>
      <c r="C699" s="89"/>
      <c r="D699" s="90"/>
      <c r="E699" s="90"/>
      <c r="F699" s="10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86"/>
      <c r="B700" s="12"/>
      <c r="C700" s="89"/>
      <c r="D700" s="90"/>
      <c r="E700" s="90"/>
      <c r="F700" s="10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86"/>
      <c r="B701" s="12"/>
      <c r="C701" s="89"/>
      <c r="D701" s="90"/>
      <c r="E701" s="90"/>
      <c r="F701" s="10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86"/>
      <c r="B702" s="12"/>
      <c r="C702" s="89"/>
      <c r="D702" s="90"/>
      <c r="E702" s="90"/>
      <c r="F702" s="10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86"/>
      <c r="B703" s="12"/>
      <c r="C703" s="89"/>
      <c r="D703" s="90"/>
      <c r="E703" s="90"/>
      <c r="F703" s="10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86"/>
      <c r="B704" s="12"/>
      <c r="C704" s="89"/>
      <c r="D704" s="90"/>
      <c r="E704" s="90"/>
      <c r="F704" s="10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86"/>
      <c r="B705" s="12"/>
      <c r="C705" s="89"/>
      <c r="D705" s="90"/>
      <c r="E705" s="90"/>
      <c r="F705" s="10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86"/>
      <c r="B706" s="12"/>
      <c r="C706" s="89"/>
      <c r="D706" s="90"/>
      <c r="E706" s="90"/>
      <c r="F706" s="10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86"/>
      <c r="B707" s="12"/>
      <c r="C707" s="89"/>
      <c r="D707" s="90"/>
      <c r="E707" s="90"/>
      <c r="F707" s="10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86"/>
      <c r="B708" s="12"/>
      <c r="C708" s="89"/>
      <c r="D708" s="90"/>
      <c r="E708" s="90"/>
      <c r="F708" s="10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86"/>
      <c r="B709" s="12"/>
      <c r="C709" s="89"/>
      <c r="D709" s="90"/>
      <c r="E709" s="90"/>
      <c r="F709" s="10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86"/>
      <c r="B710" s="12"/>
      <c r="C710" s="89"/>
      <c r="D710" s="90"/>
      <c r="E710" s="90"/>
      <c r="F710" s="10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86"/>
      <c r="B711" s="12"/>
      <c r="C711" s="89"/>
      <c r="D711" s="90"/>
      <c r="E711" s="90"/>
      <c r="F711" s="10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86"/>
      <c r="B712" s="12"/>
      <c r="C712" s="89"/>
      <c r="D712" s="90"/>
      <c r="E712" s="90"/>
      <c r="F712" s="10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86"/>
      <c r="B713" s="12"/>
      <c r="C713" s="89"/>
      <c r="D713" s="90"/>
      <c r="E713" s="90"/>
      <c r="F713" s="10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86"/>
      <c r="B714" s="12"/>
      <c r="C714" s="89"/>
      <c r="D714" s="90"/>
      <c r="E714" s="90"/>
      <c r="F714" s="10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86"/>
      <c r="B715" s="12"/>
      <c r="C715" s="89"/>
      <c r="D715" s="90"/>
      <c r="E715" s="90"/>
      <c r="F715" s="10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86"/>
      <c r="B716" s="12"/>
      <c r="C716" s="89"/>
      <c r="D716" s="90"/>
      <c r="E716" s="90"/>
      <c r="F716" s="10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86"/>
      <c r="B717" s="12"/>
      <c r="C717" s="89"/>
      <c r="D717" s="90"/>
      <c r="E717" s="90"/>
      <c r="F717" s="10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86"/>
      <c r="B718" s="12"/>
      <c r="C718" s="89"/>
      <c r="D718" s="90"/>
      <c r="E718" s="90"/>
      <c r="F718" s="10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86"/>
      <c r="B719" s="12"/>
      <c r="C719" s="89"/>
      <c r="D719" s="90"/>
      <c r="E719" s="90"/>
      <c r="F719" s="10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86"/>
      <c r="B720" s="12"/>
      <c r="C720" s="89"/>
      <c r="D720" s="90"/>
      <c r="E720" s="90"/>
      <c r="F720" s="10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86"/>
      <c r="B721" s="12"/>
      <c r="C721" s="89"/>
      <c r="D721" s="90"/>
      <c r="E721" s="90"/>
      <c r="F721" s="10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86"/>
      <c r="B722" s="12"/>
      <c r="C722" s="89"/>
      <c r="D722" s="90"/>
      <c r="E722" s="90"/>
      <c r="F722" s="10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86"/>
      <c r="B723" s="12"/>
      <c r="C723" s="89"/>
      <c r="D723" s="90"/>
      <c r="E723" s="90"/>
      <c r="F723" s="10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86"/>
      <c r="B724" s="12"/>
      <c r="C724" s="89"/>
      <c r="D724" s="90"/>
      <c r="E724" s="90"/>
      <c r="F724" s="10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86"/>
      <c r="B725" s="12"/>
      <c r="C725" s="89"/>
      <c r="D725" s="90"/>
      <c r="E725" s="90"/>
      <c r="F725" s="10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86"/>
      <c r="B726" s="12"/>
      <c r="C726" s="89"/>
      <c r="D726" s="90"/>
      <c r="E726" s="90"/>
      <c r="F726" s="10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86"/>
      <c r="B727" s="12"/>
      <c r="C727" s="89"/>
      <c r="D727" s="90"/>
      <c r="E727" s="90"/>
      <c r="F727" s="10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86"/>
      <c r="B728" s="12"/>
      <c r="C728" s="89"/>
      <c r="D728" s="90"/>
      <c r="E728" s="90"/>
      <c r="F728" s="10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86"/>
      <c r="B729" s="12"/>
      <c r="C729" s="89"/>
      <c r="D729" s="90"/>
      <c r="E729" s="90"/>
      <c r="F729" s="10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86"/>
      <c r="B730" s="12"/>
      <c r="C730" s="89"/>
      <c r="D730" s="90"/>
      <c r="E730" s="90"/>
      <c r="F730" s="10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86"/>
      <c r="B731" s="12"/>
      <c r="C731" s="89"/>
      <c r="D731" s="90"/>
      <c r="E731" s="90"/>
      <c r="F731" s="10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86"/>
      <c r="B732" s="12"/>
      <c r="C732" s="89"/>
      <c r="D732" s="90"/>
      <c r="E732" s="90"/>
      <c r="F732" s="10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86"/>
      <c r="B733" s="12"/>
      <c r="C733" s="89"/>
      <c r="D733" s="90"/>
      <c r="E733" s="90"/>
      <c r="F733" s="10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86"/>
      <c r="B734" s="12"/>
      <c r="C734" s="89"/>
      <c r="D734" s="90"/>
      <c r="E734" s="90"/>
      <c r="F734" s="10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86"/>
      <c r="B735" s="12"/>
      <c r="C735" s="89"/>
      <c r="D735" s="90"/>
      <c r="E735" s="90"/>
      <c r="F735" s="10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86"/>
      <c r="B736" s="12"/>
      <c r="C736" s="89"/>
      <c r="D736" s="90"/>
      <c r="E736" s="90"/>
      <c r="F736" s="10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86"/>
      <c r="B737" s="12"/>
      <c r="C737" s="89"/>
      <c r="D737" s="90"/>
      <c r="E737" s="90"/>
      <c r="F737" s="10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86"/>
      <c r="B738" s="12"/>
      <c r="C738" s="89"/>
      <c r="D738" s="90"/>
      <c r="E738" s="90"/>
      <c r="F738" s="10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86"/>
      <c r="B739" s="12"/>
      <c r="C739" s="89"/>
      <c r="D739" s="90"/>
      <c r="E739" s="90"/>
      <c r="F739" s="10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86"/>
      <c r="B740" s="12"/>
      <c r="C740" s="89"/>
      <c r="D740" s="90"/>
      <c r="E740" s="90"/>
      <c r="F740" s="10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86"/>
      <c r="B741" s="12"/>
      <c r="C741" s="89"/>
      <c r="D741" s="90"/>
      <c r="E741" s="90"/>
      <c r="F741" s="10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86"/>
      <c r="B742" s="12"/>
      <c r="C742" s="89"/>
      <c r="D742" s="90"/>
      <c r="E742" s="90"/>
      <c r="F742" s="10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86"/>
      <c r="B743" s="12"/>
      <c r="C743" s="89"/>
      <c r="D743" s="90"/>
      <c r="E743" s="90"/>
      <c r="F743" s="10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86"/>
      <c r="B744" s="12"/>
      <c r="C744" s="89"/>
      <c r="D744" s="90"/>
      <c r="E744" s="90"/>
      <c r="F744" s="10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86"/>
      <c r="B745" s="12"/>
      <c r="C745" s="89"/>
      <c r="D745" s="90"/>
      <c r="E745" s="90"/>
      <c r="F745" s="10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86"/>
      <c r="B746" s="12"/>
      <c r="C746" s="89"/>
      <c r="D746" s="90"/>
      <c r="E746" s="90"/>
      <c r="F746" s="10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86"/>
      <c r="B747" s="12"/>
      <c r="C747" s="89"/>
      <c r="D747" s="90"/>
      <c r="E747" s="90"/>
      <c r="F747" s="10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86"/>
      <c r="B748" s="12"/>
      <c r="C748" s="89"/>
      <c r="D748" s="90"/>
      <c r="E748" s="90"/>
      <c r="F748" s="10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86"/>
      <c r="B749" s="12"/>
      <c r="C749" s="89"/>
      <c r="D749" s="90"/>
      <c r="E749" s="90"/>
      <c r="F749" s="10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86"/>
      <c r="B750" s="12"/>
      <c r="C750" s="89"/>
      <c r="D750" s="90"/>
      <c r="E750" s="90"/>
      <c r="F750" s="10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86"/>
      <c r="B751" s="12"/>
      <c r="C751" s="89"/>
      <c r="D751" s="90"/>
      <c r="E751" s="90"/>
      <c r="F751" s="10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86"/>
      <c r="B752" s="12"/>
      <c r="C752" s="89"/>
      <c r="D752" s="90"/>
      <c r="E752" s="90"/>
      <c r="F752" s="10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86"/>
      <c r="B753" s="12"/>
      <c r="C753" s="89"/>
      <c r="D753" s="90"/>
      <c r="E753" s="90"/>
      <c r="F753" s="10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86"/>
      <c r="B754" s="12"/>
      <c r="C754" s="89"/>
      <c r="D754" s="90"/>
      <c r="E754" s="90"/>
      <c r="F754" s="10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86"/>
      <c r="B755" s="12"/>
      <c r="C755" s="89"/>
      <c r="D755" s="90"/>
      <c r="E755" s="90"/>
      <c r="F755" s="10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86"/>
      <c r="B756" s="12"/>
      <c r="C756" s="89"/>
      <c r="D756" s="90"/>
      <c r="E756" s="90"/>
      <c r="F756" s="10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86"/>
      <c r="B757" s="12"/>
      <c r="C757" s="89"/>
      <c r="D757" s="90"/>
      <c r="E757" s="90"/>
      <c r="F757" s="10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86"/>
      <c r="B758" s="12"/>
      <c r="C758" s="89"/>
      <c r="D758" s="90"/>
      <c r="E758" s="90"/>
      <c r="F758" s="10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86"/>
      <c r="B759" s="12"/>
      <c r="C759" s="89"/>
      <c r="D759" s="90"/>
      <c r="E759" s="90"/>
      <c r="F759" s="10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86"/>
      <c r="B760" s="12"/>
      <c r="C760" s="89"/>
      <c r="D760" s="90"/>
      <c r="E760" s="90"/>
      <c r="F760" s="10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86"/>
      <c r="B761" s="12"/>
      <c r="C761" s="89"/>
      <c r="D761" s="90"/>
      <c r="E761" s="90"/>
      <c r="F761" s="10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86"/>
      <c r="B762" s="12"/>
      <c r="C762" s="89"/>
      <c r="D762" s="90"/>
      <c r="E762" s="90"/>
      <c r="F762" s="10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86"/>
      <c r="B763" s="12"/>
      <c r="C763" s="89"/>
      <c r="D763" s="90"/>
      <c r="E763" s="90"/>
      <c r="F763" s="10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86"/>
      <c r="B764" s="12"/>
      <c r="C764" s="89"/>
      <c r="D764" s="90"/>
      <c r="E764" s="90"/>
      <c r="F764" s="10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86"/>
      <c r="B765" s="12"/>
      <c r="C765" s="89"/>
      <c r="D765" s="90"/>
      <c r="E765" s="90"/>
      <c r="F765" s="10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86"/>
      <c r="B766" s="12"/>
      <c r="C766" s="89"/>
      <c r="D766" s="90"/>
      <c r="E766" s="90"/>
      <c r="F766" s="10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86"/>
      <c r="B767" s="12"/>
      <c r="C767" s="89"/>
      <c r="D767" s="90"/>
      <c r="E767" s="90"/>
      <c r="F767" s="10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86"/>
      <c r="B768" s="12"/>
      <c r="C768" s="89"/>
      <c r="D768" s="90"/>
      <c r="E768" s="90"/>
      <c r="F768" s="10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86"/>
      <c r="B769" s="12"/>
      <c r="C769" s="89"/>
      <c r="D769" s="90"/>
      <c r="E769" s="90"/>
      <c r="F769" s="10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86"/>
      <c r="B770" s="12"/>
      <c r="C770" s="89"/>
      <c r="D770" s="90"/>
      <c r="E770" s="90"/>
      <c r="F770" s="10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86"/>
      <c r="B771" s="12"/>
      <c r="C771" s="89"/>
      <c r="D771" s="90"/>
      <c r="E771" s="90"/>
      <c r="F771" s="10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86"/>
      <c r="B772" s="12"/>
      <c r="C772" s="89"/>
      <c r="D772" s="90"/>
      <c r="E772" s="90"/>
      <c r="F772" s="10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86"/>
      <c r="B773" s="12"/>
      <c r="C773" s="89"/>
      <c r="D773" s="90"/>
      <c r="E773" s="90"/>
      <c r="F773" s="10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86"/>
      <c r="B774" s="12"/>
      <c r="C774" s="89"/>
      <c r="D774" s="90"/>
      <c r="E774" s="90"/>
      <c r="F774" s="10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86"/>
      <c r="B775" s="12"/>
      <c r="C775" s="89"/>
      <c r="D775" s="90"/>
      <c r="E775" s="90"/>
      <c r="F775" s="10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86"/>
      <c r="B776" s="12"/>
      <c r="C776" s="89"/>
      <c r="D776" s="90"/>
      <c r="E776" s="90"/>
      <c r="F776" s="10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86"/>
      <c r="B777" s="12"/>
      <c r="C777" s="89"/>
      <c r="D777" s="90"/>
      <c r="E777" s="90"/>
      <c r="F777" s="10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86"/>
      <c r="B778" s="12"/>
      <c r="C778" s="89"/>
      <c r="D778" s="90"/>
      <c r="E778" s="90"/>
      <c r="F778" s="10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86"/>
      <c r="B779" s="12"/>
      <c r="C779" s="89"/>
      <c r="D779" s="90"/>
      <c r="E779" s="90"/>
      <c r="F779" s="10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86"/>
      <c r="B780" s="12"/>
      <c r="C780" s="89"/>
      <c r="D780" s="90"/>
      <c r="E780" s="90"/>
      <c r="F780" s="10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86"/>
      <c r="B781" s="12"/>
      <c r="C781" s="89"/>
      <c r="D781" s="90"/>
      <c r="E781" s="90"/>
      <c r="F781" s="10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86"/>
      <c r="B782" s="12"/>
      <c r="C782" s="89"/>
      <c r="D782" s="90"/>
      <c r="E782" s="90"/>
      <c r="F782" s="10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86"/>
      <c r="B783" s="12"/>
      <c r="C783" s="89"/>
      <c r="D783" s="90"/>
      <c r="E783" s="90"/>
      <c r="F783" s="10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86"/>
      <c r="B784" s="12"/>
      <c r="C784" s="89"/>
      <c r="D784" s="90"/>
      <c r="E784" s="90"/>
      <c r="F784" s="10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86"/>
      <c r="B785" s="12"/>
      <c r="C785" s="89"/>
      <c r="D785" s="90"/>
      <c r="E785" s="90"/>
      <c r="F785" s="10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86"/>
      <c r="B786" s="12"/>
      <c r="C786" s="89"/>
      <c r="D786" s="90"/>
      <c r="E786" s="90"/>
      <c r="F786" s="10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86"/>
      <c r="B787" s="12"/>
      <c r="C787" s="89"/>
      <c r="D787" s="90"/>
      <c r="E787" s="90"/>
      <c r="F787" s="10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86"/>
      <c r="B788" s="12"/>
      <c r="C788" s="89"/>
      <c r="D788" s="90"/>
      <c r="E788" s="90"/>
      <c r="F788" s="10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86"/>
      <c r="B789" s="12"/>
      <c r="C789" s="89"/>
      <c r="D789" s="90"/>
      <c r="E789" s="90"/>
      <c r="F789" s="10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86"/>
      <c r="B790" s="12"/>
      <c r="C790" s="89"/>
      <c r="D790" s="90"/>
      <c r="E790" s="90"/>
      <c r="F790" s="10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86"/>
      <c r="B791" s="12"/>
      <c r="C791" s="89"/>
      <c r="D791" s="90"/>
      <c r="E791" s="90"/>
      <c r="F791" s="10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86"/>
      <c r="B792" s="12"/>
      <c r="C792" s="89"/>
      <c r="D792" s="90"/>
      <c r="E792" s="90"/>
      <c r="F792" s="10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86"/>
      <c r="B793" s="12"/>
      <c r="C793" s="89"/>
      <c r="D793" s="90"/>
      <c r="E793" s="90"/>
      <c r="F793" s="10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86"/>
      <c r="B794" s="12"/>
      <c r="C794" s="89"/>
      <c r="D794" s="90"/>
      <c r="E794" s="90"/>
      <c r="F794" s="10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86"/>
      <c r="B795" s="12"/>
      <c r="C795" s="89"/>
      <c r="D795" s="90"/>
      <c r="E795" s="90"/>
      <c r="F795" s="10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86"/>
      <c r="B796" s="12"/>
      <c r="C796" s="89"/>
      <c r="D796" s="90"/>
      <c r="E796" s="90"/>
      <c r="F796" s="10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86"/>
      <c r="B797" s="12"/>
      <c r="C797" s="89"/>
      <c r="D797" s="90"/>
      <c r="E797" s="90"/>
      <c r="F797" s="10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86"/>
      <c r="B798" s="12"/>
      <c r="C798" s="89"/>
      <c r="D798" s="90"/>
      <c r="E798" s="90"/>
      <c r="F798" s="10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86"/>
      <c r="B799" s="12"/>
      <c r="C799" s="89"/>
      <c r="D799" s="90"/>
      <c r="E799" s="90"/>
      <c r="F799" s="10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86"/>
      <c r="B800" s="12"/>
      <c r="C800" s="89"/>
      <c r="D800" s="90"/>
      <c r="E800" s="90"/>
      <c r="F800" s="10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86"/>
      <c r="B801" s="12"/>
      <c r="C801" s="89"/>
      <c r="D801" s="90"/>
      <c r="E801" s="90"/>
      <c r="F801" s="10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86"/>
      <c r="B802" s="12"/>
      <c r="C802" s="89"/>
      <c r="D802" s="90"/>
      <c r="E802" s="90"/>
      <c r="F802" s="10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86"/>
      <c r="B803" s="12"/>
      <c r="C803" s="89"/>
      <c r="D803" s="90"/>
      <c r="E803" s="90"/>
      <c r="F803" s="10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86"/>
      <c r="B804" s="12"/>
      <c r="C804" s="89"/>
      <c r="D804" s="90"/>
      <c r="E804" s="90"/>
      <c r="F804" s="10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86"/>
      <c r="B805" s="12"/>
      <c r="C805" s="89"/>
      <c r="D805" s="90"/>
      <c r="E805" s="90"/>
      <c r="F805" s="10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86"/>
      <c r="B806" s="12"/>
      <c r="C806" s="89"/>
      <c r="D806" s="90"/>
      <c r="E806" s="90"/>
      <c r="F806" s="10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86"/>
      <c r="B807" s="12"/>
      <c r="C807" s="89"/>
      <c r="D807" s="90"/>
      <c r="E807" s="90"/>
      <c r="F807" s="10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86"/>
      <c r="B808" s="12"/>
      <c r="C808" s="89"/>
      <c r="D808" s="90"/>
      <c r="E808" s="90"/>
      <c r="F808" s="10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86"/>
      <c r="B809" s="12"/>
      <c r="C809" s="89"/>
      <c r="D809" s="90"/>
      <c r="E809" s="90"/>
      <c r="F809" s="10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86"/>
      <c r="B810" s="12"/>
      <c r="C810" s="89"/>
      <c r="D810" s="90"/>
      <c r="E810" s="90"/>
      <c r="F810" s="10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86"/>
      <c r="B811" s="12"/>
      <c r="C811" s="89"/>
      <c r="D811" s="90"/>
      <c r="E811" s="90"/>
      <c r="F811" s="10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86"/>
      <c r="B812" s="12"/>
      <c r="C812" s="89"/>
      <c r="D812" s="90"/>
      <c r="E812" s="90"/>
      <c r="F812" s="10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86"/>
      <c r="B813" s="12"/>
      <c r="C813" s="89"/>
      <c r="D813" s="90"/>
      <c r="E813" s="90"/>
      <c r="F813" s="10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86"/>
      <c r="B814" s="12"/>
      <c r="C814" s="89"/>
      <c r="D814" s="90"/>
      <c r="E814" s="90"/>
      <c r="F814" s="10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86"/>
      <c r="B815" s="12"/>
      <c r="C815" s="89"/>
      <c r="D815" s="90"/>
      <c r="E815" s="90"/>
      <c r="F815" s="10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86"/>
      <c r="B816" s="12"/>
      <c r="C816" s="89"/>
      <c r="D816" s="90"/>
      <c r="E816" s="90"/>
      <c r="F816" s="10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86"/>
      <c r="B817" s="12"/>
      <c r="C817" s="89"/>
      <c r="D817" s="90"/>
      <c r="E817" s="90"/>
      <c r="F817" s="10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86"/>
      <c r="B818" s="12"/>
      <c r="C818" s="89"/>
      <c r="D818" s="90"/>
      <c r="E818" s="90"/>
      <c r="F818" s="10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86"/>
      <c r="B819" s="12"/>
      <c r="C819" s="89"/>
      <c r="D819" s="90"/>
      <c r="E819" s="90"/>
      <c r="F819" s="10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86"/>
      <c r="B820" s="12"/>
      <c r="C820" s="89"/>
      <c r="D820" s="90"/>
      <c r="E820" s="90"/>
      <c r="F820" s="10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86"/>
      <c r="B821" s="12"/>
      <c r="C821" s="89"/>
      <c r="D821" s="90"/>
      <c r="E821" s="90"/>
      <c r="F821" s="10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86"/>
      <c r="B822" s="12"/>
      <c r="C822" s="89"/>
      <c r="D822" s="90"/>
      <c r="E822" s="90"/>
      <c r="F822" s="10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86"/>
      <c r="B823" s="12"/>
      <c r="C823" s="89"/>
      <c r="D823" s="90"/>
      <c r="E823" s="90"/>
      <c r="F823" s="10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86"/>
      <c r="B824" s="12"/>
      <c r="C824" s="89"/>
      <c r="D824" s="90"/>
      <c r="E824" s="90"/>
      <c r="F824" s="10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86"/>
      <c r="B825" s="12"/>
      <c r="C825" s="89"/>
      <c r="D825" s="90"/>
      <c r="E825" s="90"/>
      <c r="F825" s="10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86"/>
      <c r="B826" s="12"/>
      <c r="C826" s="89"/>
      <c r="D826" s="90"/>
      <c r="E826" s="90"/>
      <c r="F826" s="10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86"/>
      <c r="B827" s="12"/>
      <c r="C827" s="89"/>
      <c r="D827" s="90"/>
      <c r="E827" s="90"/>
      <c r="F827" s="10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86"/>
      <c r="B828" s="12"/>
      <c r="C828" s="89"/>
      <c r="D828" s="90"/>
      <c r="E828" s="90"/>
      <c r="F828" s="10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86"/>
      <c r="B829" s="12"/>
      <c r="C829" s="89"/>
      <c r="D829" s="90"/>
      <c r="E829" s="90"/>
      <c r="F829" s="10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86"/>
      <c r="B830" s="12"/>
      <c r="C830" s="89"/>
      <c r="D830" s="90"/>
      <c r="E830" s="90"/>
      <c r="F830" s="10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86"/>
      <c r="B831" s="12"/>
      <c r="C831" s="89"/>
      <c r="D831" s="90"/>
      <c r="E831" s="90"/>
      <c r="F831" s="10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86"/>
      <c r="B832" s="12"/>
      <c r="C832" s="89"/>
      <c r="D832" s="90"/>
      <c r="E832" s="90"/>
      <c r="F832" s="10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86"/>
      <c r="B833" s="12"/>
      <c r="C833" s="89"/>
      <c r="D833" s="90"/>
      <c r="E833" s="90"/>
      <c r="F833" s="10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86"/>
      <c r="B834" s="12"/>
      <c r="C834" s="89"/>
      <c r="D834" s="90"/>
      <c r="E834" s="90"/>
      <c r="F834" s="10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86"/>
      <c r="B835" s="12"/>
      <c r="C835" s="89"/>
      <c r="D835" s="90"/>
      <c r="E835" s="90"/>
      <c r="F835" s="10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86"/>
      <c r="B836" s="12"/>
      <c r="C836" s="89"/>
      <c r="D836" s="90"/>
      <c r="E836" s="90"/>
      <c r="F836" s="10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86"/>
      <c r="B837" s="12"/>
      <c r="C837" s="89"/>
      <c r="D837" s="90"/>
      <c r="E837" s="90"/>
      <c r="F837" s="10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86"/>
      <c r="B838" s="12"/>
      <c r="C838" s="89"/>
      <c r="D838" s="90"/>
      <c r="E838" s="90"/>
      <c r="F838" s="10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86"/>
      <c r="B839" s="12"/>
      <c r="C839" s="89"/>
      <c r="D839" s="90"/>
      <c r="E839" s="90"/>
      <c r="F839" s="10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86"/>
      <c r="B840" s="12"/>
      <c r="C840" s="89"/>
      <c r="D840" s="90"/>
      <c r="E840" s="90"/>
      <c r="F840" s="10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86"/>
      <c r="B841" s="12"/>
      <c r="C841" s="89"/>
      <c r="D841" s="90"/>
      <c r="E841" s="90"/>
      <c r="F841" s="10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86"/>
      <c r="B842" s="12"/>
      <c r="C842" s="89"/>
      <c r="D842" s="90"/>
      <c r="E842" s="90"/>
      <c r="F842" s="10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86"/>
      <c r="B843" s="12"/>
      <c r="C843" s="89"/>
      <c r="D843" s="90"/>
      <c r="E843" s="90"/>
      <c r="F843" s="10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86"/>
      <c r="B844" s="12"/>
      <c r="C844" s="89"/>
      <c r="D844" s="90"/>
      <c r="E844" s="90"/>
      <c r="F844" s="10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86"/>
      <c r="B845" s="12"/>
      <c r="C845" s="89"/>
      <c r="D845" s="90"/>
      <c r="E845" s="90"/>
      <c r="F845" s="10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86"/>
      <c r="B846" s="12"/>
      <c r="C846" s="89"/>
      <c r="D846" s="90"/>
      <c r="E846" s="90"/>
      <c r="F846" s="10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86"/>
      <c r="B847" s="12"/>
      <c r="C847" s="89"/>
      <c r="D847" s="90"/>
      <c r="E847" s="90"/>
      <c r="F847" s="10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86"/>
      <c r="B848" s="12"/>
      <c r="C848" s="89"/>
      <c r="D848" s="90"/>
      <c r="E848" s="90"/>
      <c r="F848" s="10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86"/>
      <c r="B849" s="12"/>
      <c r="C849" s="89"/>
      <c r="D849" s="90"/>
      <c r="E849" s="90"/>
      <c r="F849" s="10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86"/>
      <c r="B850" s="12"/>
      <c r="C850" s="89"/>
      <c r="D850" s="90"/>
      <c r="E850" s="90"/>
      <c r="F850" s="10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86"/>
      <c r="B851" s="12"/>
      <c r="C851" s="89"/>
      <c r="D851" s="90"/>
      <c r="E851" s="90"/>
      <c r="F851" s="10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86"/>
      <c r="B852" s="12"/>
      <c r="C852" s="89"/>
      <c r="D852" s="90"/>
      <c r="E852" s="90"/>
      <c r="F852" s="10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86"/>
      <c r="B853" s="12"/>
      <c r="C853" s="89"/>
      <c r="D853" s="90"/>
      <c r="E853" s="90"/>
      <c r="F853" s="10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86"/>
      <c r="B854" s="12"/>
      <c r="C854" s="89"/>
      <c r="D854" s="90"/>
      <c r="E854" s="90"/>
      <c r="F854" s="10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86"/>
      <c r="B855" s="12"/>
      <c r="C855" s="89"/>
      <c r="D855" s="90"/>
      <c r="E855" s="90"/>
      <c r="F855" s="10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86"/>
      <c r="B856" s="12"/>
      <c r="C856" s="89"/>
      <c r="D856" s="90"/>
      <c r="E856" s="90"/>
      <c r="F856" s="10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86"/>
      <c r="B857" s="12"/>
      <c r="C857" s="89"/>
      <c r="D857" s="90"/>
      <c r="E857" s="90"/>
      <c r="F857" s="10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86"/>
      <c r="B858" s="12"/>
      <c r="C858" s="89"/>
      <c r="D858" s="90"/>
      <c r="E858" s="90"/>
      <c r="F858" s="10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86"/>
      <c r="B859" s="12"/>
      <c r="C859" s="89"/>
      <c r="D859" s="90"/>
      <c r="E859" s="90"/>
      <c r="F859" s="10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86"/>
      <c r="B860" s="12"/>
      <c r="C860" s="89"/>
      <c r="D860" s="90"/>
      <c r="E860" s="90"/>
      <c r="F860" s="10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86"/>
      <c r="B861" s="12"/>
      <c r="C861" s="89"/>
      <c r="D861" s="90"/>
      <c r="E861" s="90"/>
      <c r="F861" s="10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86"/>
      <c r="B862" s="12"/>
      <c r="C862" s="89"/>
      <c r="D862" s="90"/>
      <c r="E862" s="90"/>
      <c r="F862" s="10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86"/>
      <c r="B863" s="12"/>
      <c r="C863" s="89"/>
      <c r="D863" s="90"/>
      <c r="E863" s="90"/>
      <c r="F863" s="10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86"/>
      <c r="B864" s="12"/>
      <c r="C864" s="89"/>
      <c r="D864" s="90"/>
      <c r="E864" s="90"/>
      <c r="F864" s="10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86"/>
      <c r="B865" s="12"/>
      <c r="C865" s="89"/>
      <c r="D865" s="90"/>
      <c r="E865" s="90"/>
      <c r="F865" s="10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86"/>
      <c r="B866" s="12"/>
      <c r="C866" s="89"/>
      <c r="D866" s="90"/>
      <c r="E866" s="90"/>
      <c r="F866" s="10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86"/>
      <c r="B867" s="12"/>
      <c r="C867" s="89"/>
      <c r="D867" s="90"/>
      <c r="E867" s="90"/>
      <c r="F867" s="10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86"/>
      <c r="B868" s="12"/>
      <c r="C868" s="89"/>
      <c r="D868" s="90"/>
      <c r="E868" s="90"/>
      <c r="F868" s="10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86"/>
      <c r="B869" s="12"/>
      <c r="C869" s="89"/>
      <c r="D869" s="90"/>
      <c r="E869" s="90"/>
      <c r="F869" s="10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86"/>
      <c r="B870" s="12"/>
      <c r="C870" s="89"/>
      <c r="D870" s="90"/>
      <c r="E870" s="90"/>
      <c r="F870" s="10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86"/>
      <c r="B871" s="12"/>
      <c r="C871" s="89"/>
      <c r="D871" s="90"/>
      <c r="E871" s="90"/>
      <c r="F871" s="10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86"/>
      <c r="B872" s="12"/>
      <c r="C872" s="89"/>
      <c r="D872" s="90"/>
      <c r="E872" s="90"/>
      <c r="F872" s="10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86"/>
      <c r="B873" s="12"/>
      <c r="C873" s="89"/>
      <c r="D873" s="90"/>
      <c r="E873" s="90"/>
      <c r="F873" s="10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86"/>
      <c r="B874" s="12"/>
      <c r="C874" s="89"/>
      <c r="D874" s="90"/>
      <c r="E874" s="90"/>
      <c r="F874" s="10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86"/>
      <c r="B875" s="12"/>
      <c r="C875" s="89"/>
      <c r="D875" s="90"/>
      <c r="E875" s="90"/>
      <c r="F875" s="10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86"/>
      <c r="B876" s="12"/>
      <c r="C876" s="89"/>
      <c r="D876" s="90"/>
      <c r="E876" s="90"/>
      <c r="F876" s="10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86"/>
      <c r="B877" s="12"/>
      <c r="C877" s="89"/>
      <c r="D877" s="90"/>
      <c r="E877" s="90"/>
      <c r="F877" s="10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86"/>
      <c r="B878" s="12"/>
      <c r="C878" s="89"/>
      <c r="D878" s="90"/>
      <c r="E878" s="90"/>
      <c r="F878" s="10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86"/>
      <c r="B879" s="12"/>
      <c r="C879" s="89"/>
      <c r="D879" s="90"/>
      <c r="E879" s="90"/>
      <c r="F879" s="10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86"/>
      <c r="B880" s="12"/>
      <c r="C880" s="89"/>
      <c r="D880" s="90"/>
      <c r="E880" s="90"/>
      <c r="F880" s="10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86"/>
      <c r="B881" s="12"/>
      <c r="C881" s="89"/>
      <c r="D881" s="90"/>
      <c r="E881" s="90"/>
      <c r="F881" s="10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86"/>
      <c r="B882" s="12"/>
      <c r="C882" s="89"/>
      <c r="D882" s="90"/>
      <c r="E882" s="90"/>
      <c r="F882" s="10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86"/>
      <c r="B883" s="12"/>
      <c r="C883" s="89"/>
      <c r="D883" s="90"/>
      <c r="E883" s="90"/>
      <c r="F883" s="10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86"/>
      <c r="B884" s="12"/>
      <c r="C884" s="89"/>
      <c r="D884" s="90"/>
      <c r="E884" s="90"/>
      <c r="F884" s="10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86"/>
      <c r="B885" s="12"/>
      <c r="C885" s="89"/>
      <c r="D885" s="90"/>
      <c r="E885" s="90"/>
      <c r="F885" s="10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86"/>
      <c r="B886" s="12"/>
      <c r="C886" s="89"/>
      <c r="D886" s="90"/>
      <c r="E886" s="90"/>
      <c r="F886" s="10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86"/>
      <c r="B887" s="12"/>
      <c r="C887" s="89"/>
      <c r="D887" s="90"/>
      <c r="E887" s="90"/>
      <c r="F887" s="10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86"/>
      <c r="B888" s="12"/>
      <c r="C888" s="89"/>
      <c r="D888" s="90"/>
      <c r="E888" s="90"/>
      <c r="F888" s="10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86"/>
      <c r="B889" s="12"/>
      <c r="C889" s="89"/>
      <c r="D889" s="90"/>
      <c r="E889" s="90"/>
      <c r="F889" s="10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86"/>
      <c r="B890" s="12"/>
      <c r="C890" s="89"/>
      <c r="D890" s="90"/>
      <c r="E890" s="90"/>
      <c r="F890" s="10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86"/>
      <c r="B891" s="12"/>
      <c r="C891" s="89"/>
      <c r="D891" s="90"/>
      <c r="E891" s="90"/>
      <c r="F891" s="10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86"/>
      <c r="B892" s="12"/>
      <c r="C892" s="89"/>
      <c r="D892" s="90"/>
      <c r="E892" s="90"/>
      <c r="F892" s="10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86"/>
      <c r="B893" s="12"/>
      <c r="C893" s="89"/>
      <c r="D893" s="90"/>
      <c r="E893" s="90"/>
      <c r="F893" s="10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86"/>
      <c r="B894" s="12"/>
      <c r="C894" s="89"/>
      <c r="D894" s="90"/>
      <c r="E894" s="90"/>
      <c r="F894" s="10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86"/>
      <c r="B895" s="12"/>
      <c r="C895" s="89"/>
      <c r="D895" s="90"/>
      <c r="E895" s="90"/>
      <c r="F895" s="10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86"/>
      <c r="B896" s="12"/>
      <c r="C896" s="89"/>
      <c r="D896" s="90"/>
      <c r="E896" s="90"/>
      <c r="F896" s="10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86"/>
      <c r="B897" s="12"/>
      <c r="C897" s="89"/>
      <c r="D897" s="90"/>
      <c r="E897" s="90"/>
      <c r="F897" s="10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86"/>
      <c r="B898" s="12"/>
      <c r="C898" s="89"/>
      <c r="D898" s="90"/>
      <c r="E898" s="90"/>
      <c r="F898" s="10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86"/>
      <c r="B899" s="12"/>
      <c r="C899" s="89"/>
      <c r="D899" s="90"/>
      <c r="E899" s="90"/>
      <c r="F899" s="10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86"/>
      <c r="B900" s="12"/>
      <c r="C900" s="89"/>
      <c r="D900" s="90"/>
      <c r="E900" s="90"/>
      <c r="F900" s="10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86"/>
      <c r="B901" s="12"/>
      <c r="C901" s="89"/>
      <c r="D901" s="90"/>
      <c r="E901" s="90"/>
      <c r="F901" s="10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86"/>
      <c r="B902" s="12"/>
      <c r="C902" s="89"/>
      <c r="D902" s="90"/>
      <c r="E902" s="90"/>
      <c r="F902" s="10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86"/>
      <c r="B903" s="12"/>
      <c r="C903" s="89"/>
      <c r="D903" s="90"/>
      <c r="E903" s="90"/>
      <c r="F903" s="10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86"/>
      <c r="B904" s="12"/>
      <c r="C904" s="89"/>
      <c r="D904" s="90"/>
      <c r="E904" s="90"/>
      <c r="F904" s="10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86"/>
      <c r="B905" s="12"/>
      <c r="C905" s="89"/>
      <c r="D905" s="90"/>
      <c r="E905" s="90"/>
      <c r="F905" s="10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86"/>
      <c r="B906" s="12"/>
      <c r="C906" s="89"/>
      <c r="D906" s="90"/>
      <c r="E906" s="90"/>
      <c r="F906" s="10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86"/>
      <c r="B907" s="12"/>
      <c r="C907" s="89"/>
      <c r="D907" s="90"/>
      <c r="E907" s="90"/>
      <c r="F907" s="10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86"/>
      <c r="B908" s="12"/>
      <c r="C908" s="89"/>
      <c r="D908" s="90"/>
      <c r="E908" s="90"/>
      <c r="F908" s="10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86"/>
      <c r="B909" s="12"/>
      <c r="C909" s="89"/>
      <c r="D909" s="90"/>
      <c r="E909" s="90"/>
      <c r="F909" s="10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86"/>
      <c r="B910" s="12"/>
      <c r="C910" s="89"/>
      <c r="D910" s="90"/>
      <c r="E910" s="90"/>
      <c r="F910" s="10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86"/>
      <c r="B911" s="12"/>
      <c r="C911" s="89"/>
      <c r="D911" s="90"/>
      <c r="E911" s="90"/>
      <c r="F911" s="10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86"/>
      <c r="B912" s="12"/>
      <c r="C912" s="89"/>
      <c r="D912" s="90"/>
      <c r="E912" s="90"/>
      <c r="F912" s="10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86"/>
      <c r="B913" s="12"/>
      <c r="C913" s="89"/>
      <c r="D913" s="90"/>
      <c r="E913" s="90"/>
      <c r="F913" s="10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86"/>
      <c r="B914" s="12"/>
      <c r="C914" s="89"/>
      <c r="D914" s="90"/>
      <c r="E914" s="90"/>
      <c r="F914" s="10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86"/>
      <c r="B915" s="12"/>
      <c r="C915" s="89"/>
      <c r="D915" s="90"/>
      <c r="E915" s="90"/>
      <c r="F915" s="10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86"/>
      <c r="B916" s="12"/>
      <c r="C916" s="89"/>
      <c r="D916" s="90"/>
      <c r="E916" s="90"/>
      <c r="F916" s="10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86"/>
      <c r="B917" s="12"/>
      <c r="C917" s="89"/>
      <c r="D917" s="90"/>
      <c r="E917" s="90"/>
      <c r="F917" s="10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86"/>
      <c r="B918" s="12"/>
      <c r="C918" s="89"/>
      <c r="D918" s="90"/>
      <c r="E918" s="90"/>
      <c r="F918" s="10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86"/>
      <c r="B919" s="12"/>
      <c r="C919" s="89"/>
      <c r="D919" s="90"/>
      <c r="E919" s="90"/>
      <c r="F919" s="10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86"/>
      <c r="B920" s="12"/>
      <c r="C920" s="89"/>
      <c r="D920" s="90"/>
      <c r="E920" s="90"/>
      <c r="F920" s="10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86"/>
      <c r="B921" s="12"/>
      <c r="C921" s="89"/>
      <c r="D921" s="90"/>
      <c r="E921" s="90"/>
      <c r="F921" s="10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86"/>
      <c r="B922" s="12"/>
      <c r="C922" s="89"/>
      <c r="D922" s="90"/>
      <c r="E922" s="90"/>
      <c r="F922" s="10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86"/>
      <c r="B923" s="12"/>
      <c r="C923" s="89"/>
      <c r="D923" s="90"/>
      <c r="E923" s="90"/>
      <c r="F923" s="10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86"/>
      <c r="B924" s="12"/>
      <c r="C924" s="89"/>
      <c r="D924" s="90"/>
      <c r="E924" s="90"/>
      <c r="F924" s="10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86"/>
      <c r="B925" s="12"/>
      <c r="C925" s="89"/>
      <c r="D925" s="90"/>
      <c r="E925" s="90"/>
      <c r="F925" s="10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86"/>
      <c r="B926" s="12"/>
      <c r="C926" s="89"/>
      <c r="D926" s="90"/>
      <c r="E926" s="90"/>
      <c r="F926" s="10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86"/>
      <c r="B927" s="12"/>
      <c r="C927" s="89"/>
      <c r="D927" s="90"/>
      <c r="E927" s="90"/>
      <c r="F927" s="10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86"/>
      <c r="B928" s="12"/>
      <c r="C928" s="89"/>
      <c r="D928" s="90"/>
      <c r="E928" s="90"/>
      <c r="F928" s="10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86"/>
      <c r="B929" s="12"/>
      <c r="C929" s="89"/>
      <c r="D929" s="90"/>
      <c r="E929" s="90"/>
      <c r="F929" s="10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86"/>
      <c r="B930" s="12"/>
      <c r="C930" s="89"/>
      <c r="D930" s="90"/>
      <c r="E930" s="90"/>
      <c r="F930" s="10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86"/>
      <c r="B931" s="12"/>
      <c r="C931" s="89"/>
      <c r="D931" s="90"/>
      <c r="E931" s="90"/>
      <c r="F931" s="10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86"/>
      <c r="B932" s="12"/>
      <c r="C932" s="89"/>
      <c r="D932" s="90"/>
      <c r="E932" s="90"/>
      <c r="F932" s="10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86"/>
      <c r="B933" s="12"/>
      <c r="C933" s="89"/>
      <c r="D933" s="90"/>
      <c r="E933" s="90"/>
      <c r="F933" s="10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86"/>
      <c r="B934" s="12"/>
      <c r="C934" s="89"/>
      <c r="D934" s="90"/>
      <c r="E934" s="90"/>
      <c r="F934" s="10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86"/>
      <c r="B935" s="12"/>
      <c r="C935" s="89"/>
      <c r="D935" s="90"/>
      <c r="E935" s="90"/>
      <c r="F935" s="10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86"/>
      <c r="B936" s="12"/>
      <c r="C936" s="89"/>
      <c r="D936" s="90"/>
      <c r="E936" s="90"/>
      <c r="F936" s="10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86"/>
      <c r="B937" s="12"/>
      <c r="C937" s="89"/>
      <c r="D937" s="90"/>
      <c r="E937" s="90"/>
      <c r="F937" s="10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86"/>
      <c r="B938" s="12"/>
      <c r="C938" s="89"/>
      <c r="D938" s="90"/>
      <c r="E938" s="90"/>
      <c r="F938" s="10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86"/>
      <c r="B939" s="12"/>
      <c r="C939" s="89"/>
      <c r="D939" s="90"/>
      <c r="E939" s="90"/>
      <c r="F939" s="10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86"/>
      <c r="B940" s="12"/>
      <c r="C940" s="89"/>
      <c r="D940" s="90"/>
      <c r="E940" s="90"/>
      <c r="F940" s="10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86"/>
      <c r="B941" s="12"/>
      <c r="C941" s="89"/>
      <c r="D941" s="90"/>
      <c r="E941" s="90"/>
      <c r="F941" s="10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86"/>
      <c r="B942" s="12"/>
      <c r="C942" s="89"/>
      <c r="D942" s="90"/>
      <c r="E942" s="90"/>
      <c r="F942" s="10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86"/>
      <c r="B943" s="12"/>
      <c r="C943" s="89"/>
      <c r="D943" s="90"/>
      <c r="E943" s="90"/>
      <c r="F943" s="10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86"/>
      <c r="B944" s="12"/>
      <c r="C944" s="89"/>
      <c r="D944" s="90"/>
      <c r="E944" s="90"/>
      <c r="F944" s="10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86"/>
      <c r="B945" s="12"/>
      <c r="C945" s="89"/>
      <c r="D945" s="90"/>
      <c r="E945" s="90"/>
      <c r="F945" s="10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86"/>
      <c r="B946" s="12"/>
      <c r="C946" s="89"/>
      <c r="D946" s="90"/>
      <c r="E946" s="90"/>
      <c r="F946" s="10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86"/>
      <c r="B947" s="12"/>
      <c r="C947" s="89"/>
      <c r="D947" s="90"/>
      <c r="E947" s="90"/>
      <c r="F947" s="10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86"/>
      <c r="B948" s="12"/>
      <c r="C948" s="89"/>
      <c r="D948" s="90"/>
      <c r="E948" s="90"/>
      <c r="F948" s="10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86"/>
      <c r="B949" s="12"/>
      <c r="C949" s="89"/>
      <c r="D949" s="90"/>
      <c r="E949" s="90"/>
      <c r="F949" s="10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86"/>
      <c r="B950" s="12"/>
      <c r="C950" s="89"/>
      <c r="D950" s="90"/>
      <c r="E950" s="90"/>
      <c r="F950" s="10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86"/>
      <c r="B951" s="12"/>
      <c r="C951" s="89"/>
      <c r="D951" s="90"/>
      <c r="E951" s="90"/>
      <c r="F951" s="10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86"/>
      <c r="B952" s="12"/>
      <c r="C952" s="89"/>
      <c r="D952" s="90"/>
      <c r="E952" s="90"/>
      <c r="F952" s="10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86"/>
      <c r="B953" s="12"/>
      <c r="C953" s="89"/>
      <c r="D953" s="90"/>
      <c r="E953" s="90"/>
      <c r="F953" s="10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86"/>
      <c r="B954" s="12"/>
      <c r="C954" s="89"/>
      <c r="D954" s="90"/>
      <c r="E954" s="90"/>
      <c r="F954" s="10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86"/>
      <c r="B955" s="12"/>
      <c r="C955" s="89"/>
      <c r="D955" s="90"/>
      <c r="E955" s="90"/>
      <c r="F955" s="10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86"/>
      <c r="B956" s="12"/>
      <c r="C956" s="89"/>
      <c r="D956" s="90"/>
      <c r="E956" s="90"/>
      <c r="F956" s="10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86"/>
      <c r="B957" s="12"/>
      <c r="C957" s="89"/>
      <c r="D957" s="90"/>
      <c r="E957" s="90"/>
      <c r="F957" s="10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86"/>
      <c r="B958" s="12"/>
      <c r="C958" s="89"/>
      <c r="D958" s="90"/>
      <c r="E958" s="90"/>
      <c r="F958" s="10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86"/>
      <c r="B959" s="12"/>
      <c r="C959" s="89"/>
      <c r="D959" s="90"/>
      <c r="E959" s="90"/>
      <c r="F959" s="10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86"/>
      <c r="B960" s="12"/>
      <c r="C960" s="89"/>
      <c r="D960" s="90"/>
      <c r="E960" s="90"/>
      <c r="F960" s="10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86"/>
      <c r="B961" s="12"/>
      <c r="C961" s="89"/>
      <c r="D961" s="90"/>
      <c r="E961" s="90"/>
      <c r="F961" s="10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86"/>
      <c r="B962" s="12"/>
      <c r="C962" s="89"/>
      <c r="D962" s="90"/>
      <c r="E962" s="90"/>
      <c r="F962" s="10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86"/>
      <c r="B963" s="12"/>
      <c r="C963" s="89"/>
      <c r="D963" s="90"/>
      <c r="E963" s="90"/>
      <c r="F963" s="10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86"/>
      <c r="B964" s="12"/>
      <c r="C964" s="89"/>
      <c r="D964" s="90"/>
      <c r="E964" s="90"/>
      <c r="F964" s="10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86"/>
      <c r="B965" s="12"/>
      <c r="C965" s="89"/>
      <c r="D965" s="90"/>
      <c r="E965" s="90"/>
      <c r="F965" s="10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86"/>
      <c r="B966" s="12"/>
      <c r="C966" s="89"/>
      <c r="D966" s="90"/>
      <c r="E966" s="90"/>
      <c r="F966" s="10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86"/>
      <c r="B967" s="12"/>
      <c r="C967" s="89"/>
      <c r="D967" s="90"/>
      <c r="E967" s="90"/>
      <c r="F967" s="10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86"/>
      <c r="B968" s="12"/>
      <c r="C968" s="89"/>
      <c r="D968" s="90"/>
      <c r="E968" s="90"/>
      <c r="F968" s="10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86"/>
      <c r="B969" s="12"/>
      <c r="C969" s="89"/>
      <c r="D969" s="90"/>
      <c r="E969" s="90"/>
      <c r="F969" s="10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86"/>
      <c r="B970" s="12"/>
      <c r="C970" s="89"/>
      <c r="D970" s="90"/>
      <c r="E970" s="90"/>
      <c r="F970" s="10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86"/>
      <c r="B971" s="12"/>
      <c r="C971" s="89"/>
      <c r="D971" s="90"/>
      <c r="E971" s="90"/>
      <c r="F971" s="10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86"/>
      <c r="B972" s="12"/>
      <c r="C972" s="89"/>
      <c r="D972" s="90"/>
      <c r="E972" s="90"/>
      <c r="F972" s="10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86"/>
      <c r="B973" s="12"/>
      <c r="C973" s="89"/>
      <c r="D973" s="90"/>
      <c r="E973" s="90"/>
      <c r="F973" s="10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86"/>
      <c r="B974" s="12"/>
      <c r="C974" s="89"/>
      <c r="D974" s="90"/>
      <c r="E974" s="90"/>
      <c r="F974" s="10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86"/>
      <c r="B975" s="12"/>
      <c r="C975" s="89"/>
      <c r="D975" s="90"/>
      <c r="E975" s="90"/>
      <c r="F975" s="10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86"/>
      <c r="B976" s="12"/>
      <c r="C976" s="89"/>
      <c r="D976" s="90"/>
      <c r="E976" s="90"/>
      <c r="F976" s="10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86"/>
      <c r="B977" s="12"/>
      <c r="C977" s="89"/>
      <c r="D977" s="90"/>
      <c r="E977" s="90"/>
      <c r="F977" s="10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86"/>
      <c r="B978" s="12"/>
      <c r="C978" s="89"/>
      <c r="D978" s="90"/>
      <c r="E978" s="90"/>
      <c r="F978" s="10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86"/>
      <c r="B979" s="12"/>
      <c r="C979" s="89"/>
      <c r="D979" s="90"/>
      <c r="E979" s="90"/>
      <c r="F979" s="10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</sheetData>
  <mergeCells count="2">
    <mergeCell ref="A1:E1"/>
    <mergeCell ref="A2:E2"/>
  </mergeCells>
  <hyperlinks>
    <hyperlink r:id="rId1" ref="B4"/>
    <hyperlink r:id="rId2" ref="C4"/>
    <hyperlink r:id="rId3" ref="A5"/>
    <hyperlink r:id="rId4" ref="C5"/>
    <hyperlink r:id="rId5" ref="C6"/>
    <hyperlink r:id="rId6" ref="A7"/>
    <hyperlink r:id="rId7" ref="B7"/>
    <hyperlink r:id="rId8" ref="A8"/>
    <hyperlink r:id="rId9" ref="C8"/>
    <hyperlink r:id="rId10" ref="A9"/>
    <hyperlink r:id="rId11" ref="C9"/>
    <hyperlink r:id="rId12" ref="A10"/>
    <hyperlink r:id="rId13" ref="B10"/>
    <hyperlink r:id="rId14" ref="C10"/>
    <hyperlink r:id="rId15" ref="A11"/>
    <hyperlink r:id="rId16" ref="C11"/>
    <hyperlink r:id="rId17" ref="A12"/>
    <hyperlink r:id="rId18" ref="C12"/>
    <hyperlink r:id="rId19" ref="A13"/>
    <hyperlink r:id="rId20" ref="C13"/>
  </hyperlinks>
  <printOptions/>
  <pageMargins bottom="0.75" footer="0.0" header="0.0" left="0.7" right="0.7" top="0.75"/>
  <pageSetup orientation="landscape"/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33.78"/>
    <col customWidth="1" min="2" max="2" width="84.44"/>
    <col customWidth="1" min="3" max="3" width="55.22"/>
    <col customWidth="1" min="4" max="4" width="14.0"/>
    <col customWidth="1" min="5" max="5" width="13.22"/>
    <col customWidth="1" min="6" max="25" width="6.78"/>
  </cols>
  <sheetData>
    <row r="1">
      <c r="A1" s="1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42.0" customHeight="1">
      <c r="A2" s="8" t="s">
        <v>2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6.25" customHeight="1">
      <c r="A3" s="11" t="s">
        <v>4</v>
      </c>
      <c r="B3" s="13" t="s">
        <v>5</v>
      </c>
      <c r="C3" s="13" t="s">
        <v>7</v>
      </c>
      <c r="D3" s="14" t="s">
        <v>8</v>
      </c>
      <c r="E3" s="14" t="s">
        <v>9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65.0" customHeight="1">
      <c r="A4" s="16" t="str">
        <f>HYPERLINK("http://www.fullon-hotels.com.tw/  ","福容大飯店
全台連鎖")</f>
        <v>福容大飯店
全台連鎖</v>
      </c>
      <c r="B4" s="121" t="s">
        <v>120</v>
      </c>
      <c r="C4" s="21" t="s">
        <v>12</v>
      </c>
      <c r="D4" s="22">
        <v>46387.0</v>
      </c>
      <c r="E4" s="23" t="s">
        <v>13</v>
      </c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</row>
    <row r="5" ht="163.5" customHeight="1">
      <c r="A5" s="16" t="str">
        <f>HYPERLINK("http://www.hotelday.com.tw/hotel03.aspx","承億文旅")</f>
        <v>承億文旅</v>
      </c>
      <c r="B5" s="43" t="s">
        <v>24</v>
      </c>
      <c r="C5" s="47" t="s">
        <v>25</v>
      </c>
      <c r="D5" s="22">
        <v>46387.0</v>
      </c>
      <c r="E5" s="48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ht="159.75" customHeight="1">
      <c r="A6" s="124" t="s">
        <v>121</v>
      </c>
      <c r="B6" s="19" t="s">
        <v>122</v>
      </c>
      <c r="C6" s="19" t="s">
        <v>123</v>
      </c>
      <c r="D6" s="22">
        <v>46387.0</v>
      </c>
      <c r="E6" s="46" t="s">
        <v>13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59.0" customHeight="1">
      <c r="A7" s="124" t="s">
        <v>124</v>
      </c>
      <c r="B7" s="19" t="s">
        <v>125</v>
      </c>
      <c r="C7" s="125" t="s">
        <v>126</v>
      </c>
      <c r="D7" s="22">
        <v>46387.0</v>
      </c>
      <c r="E7" s="46" t="s">
        <v>13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59.75" customHeight="1">
      <c r="A8" s="124" t="s">
        <v>127</v>
      </c>
      <c r="B8" s="19" t="s">
        <v>128</v>
      </c>
      <c r="C8" s="125" t="s">
        <v>126</v>
      </c>
      <c r="D8" s="22">
        <v>46387.0</v>
      </c>
      <c r="E8" s="46" t="s">
        <v>13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60.5" customHeight="1">
      <c r="A9" s="124" t="s">
        <v>129</v>
      </c>
      <c r="B9" s="19" t="s">
        <v>130</v>
      </c>
      <c r="C9" s="125" t="s">
        <v>126</v>
      </c>
      <c r="D9" s="22">
        <v>46387.0</v>
      </c>
      <c r="E9" s="46" t="s">
        <v>13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190.5" customHeight="1">
      <c r="A10" s="126" t="s">
        <v>131</v>
      </c>
      <c r="B10" s="127" t="s">
        <v>132</v>
      </c>
      <c r="C10" s="128" t="s">
        <v>133</v>
      </c>
      <c r="D10" s="129" t="s">
        <v>83</v>
      </c>
      <c r="E10" s="130"/>
      <c r="F10" s="37" t="s">
        <v>69</v>
      </c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</row>
    <row r="11" ht="187.5" customHeight="1">
      <c r="A11" s="16" t="s">
        <v>77</v>
      </c>
      <c r="B11" s="44" t="s">
        <v>134</v>
      </c>
      <c r="C11" s="36" t="s">
        <v>81</v>
      </c>
      <c r="D11" s="83" t="s">
        <v>83</v>
      </c>
      <c r="E11" s="96" t="s">
        <v>13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00"/>
      <c r="B12" s="119"/>
      <c r="C12" s="119"/>
      <c r="D12" s="132"/>
      <c r="E12" s="119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00"/>
      <c r="B13" s="12"/>
      <c r="C13" s="12"/>
      <c r="D13" s="9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00"/>
      <c r="B14" s="12"/>
      <c r="C14" s="12"/>
      <c r="D14" s="9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00"/>
      <c r="B15" s="12"/>
      <c r="C15" s="12"/>
      <c r="D15" s="9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00"/>
      <c r="B16" s="12"/>
      <c r="C16" s="12"/>
      <c r="D16" s="90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00"/>
      <c r="B17" s="12"/>
      <c r="C17" s="12"/>
      <c r="D17" s="9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00"/>
      <c r="B18" s="12"/>
      <c r="C18" s="12"/>
      <c r="D18" s="90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00"/>
      <c r="B19" s="12"/>
      <c r="C19" s="12"/>
      <c r="D19" s="9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00"/>
      <c r="B20" s="12"/>
      <c r="C20" s="12"/>
      <c r="D20" s="9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00"/>
      <c r="B21" s="12"/>
      <c r="C21" s="12"/>
      <c r="D21" s="9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00"/>
      <c r="B22" s="12"/>
      <c r="C22" s="12"/>
      <c r="D22" s="9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00"/>
      <c r="B23" s="12"/>
      <c r="C23" s="12"/>
      <c r="D23" s="9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00"/>
      <c r="B24" s="12"/>
      <c r="C24" s="12"/>
      <c r="D24" s="90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00"/>
      <c r="B25" s="12"/>
      <c r="C25" s="12"/>
      <c r="D25" s="9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00"/>
      <c r="B26" s="12"/>
      <c r="C26" s="12"/>
      <c r="D26" s="9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00"/>
      <c r="B27" s="12"/>
      <c r="C27" s="12"/>
      <c r="D27" s="9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00"/>
      <c r="B28" s="12"/>
      <c r="C28" s="12"/>
      <c r="D28" s="9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00"/>
      <c r="B29" s="12"/>
      <c r="C29" s="12"/>
      <c r="D29" s="9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00"/>
      <c r="B30" s="12"/>
      <c r="C30" s="12"/>
      <c r="D30" s="9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00"/>
      <c r="B31" s="12"/>
      <c r="C31" s="12"/>
      <c r="D31" s="9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00"/>
      <c r="B32" s="12"/>
      <c r="C32" s="12"/>
      <c r="D32" s="9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00"/>
      <c r="B33" s="12"/>
      <c r="C33" s="12"/>
      <c r="D33" s="9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00"/>
      <c r="B34" s="12"/>
      <c r="C34" s="12"/>
      <c r="D34" s="9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00"/>
      <c r="B35" s="12"/>
      <c r="C35" s="12"/>
      <c r="D35" s="9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00"/>
      <c r="B36" s="12"/>
      <c r="C36" s="12"/>
      <c r="D36" s="9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00"/>
      <c r="B37" s="12"/>
      <c r="C37" s="12"/>
      <c r="D37" s="9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00"/>
      <c r="B38" s="12"/>
      <c r="C38" s="12"/>
      <c r="D38" s="9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00"/>
      <c r="B39" s="12"/>
      <c r="C39" s="12"/>
      <c r="D39" s="9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00"/>
      <c r="B40" s="12"/>
      <c r="C40" s="12"/>
      <c r="D40" s="9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00"/>
      <c r="B41" s="12"/>
      <c r="C41" s="12"/>
      <c r="D41" s="9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00"/>
      <c r="B42" s="12"/>
      <c r="C42" s="12"/>
      <c r="D42" s="9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00"/>
      <c r="B43" s="12"/>
      <c r="C43" s="12"/>
      <c r="D43" s="9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00"/>
      <c r="B44" s="12"/>
      <c r="C44" s="12"/>
      <c r="D44" s="90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00"/>
      <c r="B45" s="12"/>
      <c r="C45" s="12"/>
      <c r="D45" s="9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00"/>
      <c r="B46" s="12"/>
      <c r="C46" s="12"/>
      <c r="D46" s="9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00"/>
      <c r="B47" s="12"/>
      <c r="C47" s="12"/>
      <c r="D47" s="9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00"/>
      <c r="B48" s="12"/>
      <c r="C48" s="12"/>
      <c r="D48" s="90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00"/>
      <c r="B49" s="12"/>
      <c r="C49" s="12"/>
      <c r="D49" s="9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00"/>
      <c r="B50" s="12"/>
      <c r="C50" s="12"/>
      <c r="D50" s="9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00"/>
      <c r="B51" s="12"/>
      <c r="C51" s="12"/>
      <c r="D51" s="9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00"/>
      <c r="B52" s="12"/>
      <c r="C52" s="12"/>
      <c r="D52" s="9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00"/>
      <c r="B53" s="12"/>
      <c r="C53" s="12"/>
      <c r="D53" s="9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00"/>
      <c r="B54" s="12"/>
      <c r="C54" s="12"/>
      <c r="D54" s="9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00"/>
      <c r="B55" s="12"/>
      <c r="C55" s="12"/>
      <c r="D55" s="9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00"/>
      <c r="B56" s="12"/>
      <c r="C56" s="12"/>
      <c r="D56" s="9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00"/>
      <c r="B57" s="12"/>
      <c r="C57" s="12"/>
      <c r="D57" s="9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00"/>
      <c r="B58" s="12"/>
      <c r="C58" s="12"/>
      <c r="D58" s="9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00"/>
      <c r="B59" s="12"/>
      <c r="C59" s="12"/>
      <c r="D59" s="90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00"/>
      <c r="B60" s="12"/>
      <c r="C60" s="12"/>
      <c r="D60" s="90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00"/>
      <c r="B61" s="12"/>
      <c r="C61" s="12"/>
      <c r="D61" s="90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00"/>
      <c r="B62" s="12"/>
      <c r="C62" s="12"/>
      <c r="D62" s="90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00"/>
      <c r="B63" s="12"/>
      <c r="C63" s="12"/>
      <c r="D63" s="90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00"/>
      <c r="B64" s="12"/>
      <c r="C64" s="12"/>
      <c r="D64" s="90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00"/>
      <c r="B65" s="12"/>
      <c r="C65" s="12"/>
      <c r="D65" s="90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00"/>
      <c r="B66" s="12"/>
      <c r="C66" s="12"/>
      <c r="D66" s="90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00"/>
      <c r="B67" s="12"/>
      <c r="C67" s="12"/>
      <c r="D67" s="90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00"/>
      <c r="B68" s="12"/>
      <c r="C68" s="12"/>
      <c r="D68" s="9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00"/>
      <c r="B69" s="12"/>
      <c r="C69" s="12"/>
      <c r="D69" s="9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00"/>
      <c r="B70" s="12"/>
      <c r="C70" s="12"/>
      <c r="D70" s="9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00"/>
      <c r="B71" s="12"/>
      <c r="C71" s="12"/>
      <c r="D71" s="9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00"/>
      <c r="B72" s="12"/>
      <c r="C72" s="12"/>
      <c r="D72" s="9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00"/>
      <c r="B73" s="12"/>
      <c r="C73" s="12"/>
      <c r="D73" s="9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00"/>
      <c r="B74" s="12"/>
      <c r="C74" s="12"/>
      <c r="D74" s="90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00"/>
      <c r="B75" s="12"/>
      <c r="C75" s="12"/>
      <c r="D75" s="90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00"/>
      <c r="B76" s="12"/>
      <c r="C76" s="12"/>
      <c r="D76" s="90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00"/>
      <c r="B77" s="12"/>
      <c r="C77" s="12"/>
      <c r="D77" s="90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00"/>
      <c r="B78" s="12"/>
      <c r="C78" s="12"/>
      <c r="D78" s="90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00"/>
      <c r="B79" s="12"/>
      <c r="C79" s="12"/>
      <c r="D79" s="90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00"/>
      <c r="B80" s="12"/>
      <c r="C80" s="12"/>
      <c r="D80" s="90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00"/>
      <c r="B81" s="12"/>
      <c r="C81" s="12"/>
      <c r="D81" s="90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00"/>
      <c r="B82" s="12"/>
      <c r="C82" s="12"/>
      <c r="D82" s="90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00"/>
      <c r="B83" s="12"/>
      <c r="C83" s="12"/>
      <c r="D83" s="90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00"/>
      <c r="B84" s="12"/>
      <c r="C84" s="12"/>
      <c r="D84" s="90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00"/>
      <c r="B85" s="12"/>
      <c r="C85" s="12"/>
      <c r="D85" s="90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00"/>
      <c r="B86" s="12"/>
      <c r="C86" s="12"/>
      <c r="D86" s="90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00"/>
      <c r="B87" s="12"/>
      <c r="C87" s="12"/>
      <c r="D87" s="90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00"/>
      <c r="B88" s="12"/>
      <c r="C88" s="12"/>
      <c r="D88" s="90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00"/>
      <c r="B89" s="12"/>
      <c r="C89" s="12"/>
      <c r="D89" s="90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00"/>
      <c r="B90" s="12"/>
      <c r="C90" s="12"/>
      <c r="D90" s="90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00"/>
      <c r="B91" s="12"/>
      <c r="C91" s="12"/>
      <c r="D91" s="90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00"/>
      <c r="B92" s="12"/>
      <c r="C92" s="12"/>
      <c r="D92" s="90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00"/>
      <c r="B93" s="12"/>
      <c r="C93" s="12"/>
      <c r="D93" s="90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00"/>
      <c r="B94" s="12"/>
      <c r="C94" s="12"/>
      <c r="D94" s="90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00"/>
      <c r="B95" s="12"/>
      <c r="C95" s="12"/>
      <c r="D95" s="90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00"/>
      <c r="B96" s="12"/>
      <c r="C96" s="12"/>
      <c r="D96" s="90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00"/>
      <c r="B97" s="12"/>
      <c r="C97" s="12"/>
      <c r="D97" s="90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00"/>
      <c r="B98" s="12"/>
      <c r="C98" s="12"/>
      <c r="D98" s="90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00"/>
      <c r="B99" s="12"/>
      <c r="C99" s="12"/>
      <c r="D99" s="90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00"/>
      <c r="B100" s="12"/>
      <c r="C100" s="12"/>
      <c r="D100" s="90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00"/>
      <c r="B101" s="12"/>
      <c r="C101" s="12"/>
      <c r="D101" s="90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00"/>
      <c r="B102" s="12"/>
      <c r="C102" s="12"/>
      <c r="D102" s="90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00"/>
      <c r="B103" s="12"/>
      <c r="C103" s="12"/>
      <c r="D103" s="90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00"/>
      <c r="B104" s="12"/>
      <c r="C104" s="12"/>
      <c r="D104" s="90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00"/>
      <c r="B105" s="12"/>
      <c r="C105" s="12"/>
      <c r="D105" s="90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00"/>
      <c r="B106" s="12"/>
      <c r="C106" s="12"/>
      <c r="D106" s="90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00"/>
      <c r="B107" s="12"/>
      <c r="C107" s="12"/>
      <c r="D107" s="90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00"/>
      <c r="B108" s="12"/>
      <c r="C108" s="12"/>
      <c r="D108" s="90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00"/>
      <c r="B109" s="12"/>
      <c r="C109" s="12"/>
      <c r="D109" s="90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00"/>
      <c r="B110" s="12"/>
      <c r="C110" s="12"/>
      <c r="D110" s="90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00"/>
      <c r="B111" s="12"/>
      <c r="C111" s="12"/>
      <c r="D111" s="90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00"/>
      <c r="B112" s="12"/>
      <c r="C112" s="12"/>
      <c r="D112" s="90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00"/>
      <c r="B113" s="12"/>
      <c r="C113" s="12"/>
      <c r="D113" s="90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00"/>
      <c r="B114" s="12"/>
      <c r="C114" s="12"/>
      <c r="D114" s="90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00"/>
      <c r="B115" s="12"/>
      <c r="C115" s="12"/>
      <c r="D115" s="90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00"/>
      <c r="B116" s="12"/>
      <c r="C116" s="12"/>
      <c r="D116" s="90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00"/>
      <c r="B117" s="12"/>
      <c r="C117" s="12"/>
      <c r="D117" s="90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00"/>
      <c r="B118" s="12"/>
      <c r="C118" s="12"/>
      <c r="D118" s="90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00"/>
      <c r="B119" s="12"/>
      <c r="C119" s="12"/>
      <c r="D119" s="90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00"/>
      <c r="B120" s="12"/>
      <c r="C120" s="12"/>
      <c r="D120" s="90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00"/>
      <c r="B121" s="12"/>
      <c r="C121" s="12"/>
      <c r="D121" s="90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00"/>
      <c r="B122" s="12"/>
      <c r="C122" s="12"/>
      <c r="D122" s="90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00"/>
      <c r="B123" s="12"/>
      <c r="C123" s="12"/>
      <c r="D123" s="90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00"/>
      <c r="B124" s="12"/>
      <c r="C124" s="12"/>
      <c r="D124" s="90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00"/>
      <c r="B125" s="12"/>
      <c r="C125" s="12"/>
      <c r="D125" s="90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00"/>
      <c r="B126" s="12"/>
      <c r="C126" s="12"/>
      <c r="D126" s="90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00"/>
      <c r="B127" s="12"/>
      <c r="C127" s="12"/>
      <c r="D127" s="90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00"/>
      <c r="B128" s="12"/>
      <c r="C128" s="12"/>
      <c r="D128" s="90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00"/>
      <c r="B129" s="12"/>
      <c r="C129" s="12"/>
      <c r="D129" s="90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00"/>
      <c r="B130" s="12"/>
      <c r="C130" s="12"/>
      <c r="D130" s="90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00"/>
      <c r="B131" s="12"/>
      <c r="C131" s="12"/>
      <c r="D131" s="90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00"/>
      <c r="B132" s="12"/>
      <c r="C132" s="12"/>
      <c r="D132" s="90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00"/>
      <c r="B133" s="12"/>
      <c r="C133" s="12"/>
      <c r="D133" s="90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00"/>
      <c r="B134" s="12"/>
      <c r="C134" s="12"/>
      <c r="D134" s="90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00"/>
      <c r="B135" s="12"/>
      <c r="C135" s="12"/>
      <c r="D135" s="9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00"/>
      <c r="B136" s="12"/>
      <c r="C136" s="12"/>
      <c r="D136" s="9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00"/>
      <c r="B137" s="12"/>
      <c r="C137" s="12"/>
      <c r="D137" s="9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00"/>
      <c r="B138" s="12"/>
      <c r="C138" s="12"/>
      <c r="D138" s="9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00"/>
      <c r="B139" s="12"/>
      <c r="C139" s="12"/>
      <c r="D139" s="9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00"/>
      <c r="B140" s="12"/>
      <c r="C140" s="12"/>
      <c r="D140" s="9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00"/>
      <c r="B141" s="12"/>
      <c r="C141" s="12"/>
      <c r="D141" s="9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00"/>
      <c r="B142" s="12"/>
      <c r="C142" s="12"/>
      <c r="D142" s="9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00"/>
      <c r="B143" s="12"/>
      <c r="C143" s="12"/>
      <c r="D143" s="9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00"/>
      <c r="B144" s="12"/>
      <c r="C144" s="12"/>
      <c r="D144" s="9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00"/>
      <c r="B145" s="12"/>
      <c r="C145" s="12"/>
      <c r="D145" s="9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00"/>
      <c r="B146" s="12"/>
      <c r="C146" s="12"/>
      <c r="D146" s="9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00"/>
      <c r="B147" s="12"/>
      <c r="C147" s="12"/>
      <c r="D147" s="9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00"/>
      <c r="B148" s="12"/>
      <c r="C148" s="12"/>
      <c r="D148" s="9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00"/>
      <c r="B149" s="12"/>
      <c r="C149" s="12"/>
      <c r="D149" s="9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00"/>
      <c r="B150" s="12"/>
      <c r="C150" s="12"/>
      <c r="D150" s="9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00"/>
      <c r="B151" s="12"/>
      <c r="C151" s="12"/>
      <c r="D151" s="90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00"/>
      <c r="B152" s="12"/>
      <c r="C152" s="12"/>
      <c r="D152" s="9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00"/>
      <c r="B153" s="12"/>
      <c r="C153" s="12"/>
      <c r="D153" s="9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00"/>
      <c r="B154" s="12"/>
      <c r="C154" s="12"/>
      <c r="D154" s="9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00"/>
      <c r="B155" s="12"/>
      <c r="C155" s="12"/>
      <c r="D155" s="9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00"/>
      <c r="B156" s="12"/>
      <c r="C156" s="12"/>
      <c r="D156" s="9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00"/>
      <c r="B157" s="12"/>
      <c r="C157" s="12"/>
      <c r="D157" s="9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00"/>
      <c r="B158" s="12"/>
      <c r="C158" s="12"/>
      <c r="D158" s="9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00"/>
      <c r="B159" s="12"/>
      <c r="C159" s="12"/>
      <c r="D159" s="9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00"/>
      <c r="B160" s="12"/>
      <c r="C160" s="12"/>
      <c r="D160" s="9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00"/>
      <c r="B161" s="12"/>
      <c r="C161" s="12"/>
      <c r="D161" s="90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00"/>
      <c r="B162" s="12"/>
      <c r="C162" s="12"/>
      <c r="D162" s="9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00"/>
      <c r="B163" s="12"/>
      <c r="C163" s="12"/>
      <c r="D163" s="9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00"/>
      <c r="B164" s="12"/>
      <c r="C164" s="12"/>
      <c r="D164" s="9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00"/>
      <c r="B165" s="12"/>
      <c r="C165" s="12"/>
      <c r="D165" s="9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00"/>
      <c r="B166" s="12"/>
      <c r="C166" s="12"/>
      <c r="D166" s="9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00"/>
      <c r="B167" s="12"/>
      <c r="C167" s="12"/>
      <c r="D167" s="9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00"/>
      <c r="B168" s="12"/>
      <c r="C168" s="12"/>
      <c r="D168" s="9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00"/>
      <c r="B169" s="12"/>
      <c r="C169" s="12"/>
      <c r="D169" s="9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00"/>
      <c r="B170" s="12"/>
      <c r="C170" s="12"/>
      <c r="D170" s="9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00"/>
      <c r="B171" s="12"/>
      <c r="C171" s="12"/>
      <c r="D171" s="9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00"/>
      <c r="B172" s="12"/>
      <c r="C172" s="12"/>
      <c r="D172" s="9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00"/>
      <c r="B173" s="12"/>
      <c r="C173" s="12"/>
      <c r="D173" s="9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00"/>
      <c r="B174" s="12"/>
      <c r="C174" s="12"/>
      <c r="D174" s="9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00"/>
      <c r="B175" s="12"/>
      <c r="C175" s="12"/>
      <c r="D175" s="9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00"/>
      <c r="B176" s="12"/>
      <c r="C176" s="12"/>
      <c r="D176" s="9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00"/>
      <c r="B177" s="12"/>
      <c r="C177" s="12"/>
      <c r="D177" s="9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00"/>
      <c r="B178" s="12"/>
      <c r="C178" s="12"/>
      <c r="D178" s="9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00"/>
      <c r="B179" s="12"/>
      <c r="C179" s="12"/>
      <c r="D179" s="9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00"/>
      <c r="B180" s="12"/>
      <c r="C180" s="12"/>
      <c r="D180" s="9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00"/>
      <c r="B181" s="12"/>
      <c r="C181" s="12"/>
      <c r="D181" s="9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00"/>
      <c r="B182" s="12"/>
      <c r="C182" s="12"/>
      <c r="D182" s="9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00"/>
      <c r="B183" s="12"/>
      <c r="C183" s="12"/>
      <c r="D183" s="9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00"/>
      <c r="B184" s="12"/>
      <c r="C184" s="12"/>
      <c r="D184" s="9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00"/>
      <c r="B185" s="12"/>
      <c r="C185" s="12"/>
      <c r="D185" s="9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00"/>
      <c r="B186" s="12"/>
      <c r="C186" s="12"/>
      <c r="D186" s="90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00"/>
      <c r="B187" s="12"/>
      <c r="C187" s="12"/>
      <c r="D187" s="9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00"/>
      <c r="B188" s="12"/>
      <c r="C188" s="12"/>
      <c r="D188" s="9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00"/>
      <c r="B189" s="12"/>
      <c r="C189" s="12"/>
      <c r="D189" s="9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00"/>
      <c r="B190" s="12"/>
      <c r="C190" s="12"/>
      <c r="D190" s="9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00"/>
      <c r="B191" s="12"/>
      <c r="C191" s="12"/>
      <c r="D191" s="9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00"/>
      <c r="B192" s="12"/>
      <c r="C192" s="12"/>
      <c r="D192" s="9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00"/>
      <c r="B193" s="12"/>
      <c r="C193" s="12"/>
      <c r="D193" s="9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00"/>
      <c r="B194" s="12"/>
      <c r="C194" s="12"/>
      <c r="D194" s="9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00"/>
      <c r="B195" s="12"/>
      <c r="C195" s="12"/>
      <c r="D195" s="9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00"/>
      <c r="B196" s="12"/>
      <c r="C196" s="12"/>
      <c r="D196" s="9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00"/>
      <c r="B197" s="12"/>
      <c r="C197" s="12"/>
      <c r="D197" s="9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00"/>
      <c r="B198" s="12"/>
      <c r="C198" s="12"/>
      <c r="D198" s="9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00"/>
      <c r="B199" s="12"/>
      <c r="C199" s="12"/>
      <c r="D199" s="9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00"/>
      <c r="B200" s="12"/>
      <c r="C200" s="12"/>
      <c r="D200" s="9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00"/>
      <c r="B201" s="12"/>
      <c r="C201" s="12"/>
      <c r="D201" s="9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00"/>
      <c r="B202" s="12"/>
      <c r="C202" s="12"/>
      <c r="D202" s="9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00"/>
      <c r="B203" s="12"/>
      <c r="C203" s="12"/>
      <c r="D203" s="9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00"/>
      <c r="B204" s="12"/>
      <c r="C204" s="12"/>
      <c r="D204" s="9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00"/>
      <c r="B205" s="12"/>
      <c r="C205" s="12"/>
      <c r="D205" s="9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00"/>
      <c r="B206" s="12"/>
      <c r="C206" s="12"/>
      <c r="D206" s="9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00"/>
      <c r="B207" s="12"/>
      <c r="C207" s="12"/>
      <c r="D207" s="9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00"/>
      <c r="B208" s="12"/>
      <c r="C208" s="12"/>
      <c r="D208" s="9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00"/>
      <c r="B209" s="12"/>
      <c r="C209" s="12"/>
      <c r="D209" s="9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00"/>
      <c r="B210" s="12"/>
      <c r="C210" s="12"/>
      <c r="D210" s="9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00"/>
      <c r="B211" s="12"/>
      <c r="C211" s="12"/>
      <c r="D211" s="90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00"/>
      <c r="B212" s="12"/>
      <c r="C212" s="12"/>
      <c r="D212" s="90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00"/>
      <c r="B213" s="12"/>
      <c r="C213" s="12"/>
      <c r="D213" s="90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00"/>
      <c r="B214" s="12"/>
      <c r="C214" s="12"/>
      <c r="D214" s="9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00"/>
      <c r="B215" s="12"/>
      <c r="C215" s="12"/>
      <c r="D215" s="9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00"/>
      <c r="B216" s="12"/>
      <c r="C216" s="12"/>
      <c r="D216" s="9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00"/>
      <c r="B217" s="12"/>
      <c r="C217" s="12"/>
      <c r="D217" s="9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00"/>
      <c r="B218" s="12"/>
      <c r="C218" s="12"/>
      <c r="D218" s="9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00"/>
      <c r="B219" s="12"/>
      <c r="C219" s="12"/>
      <c r="D219" s="9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00"/>
      <c r="B220" s="12"/>
      <c r="C220" s="12"/>
      <c r="D220" s="9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00"/>
      <c r="B221" s="12"/>
      <c r="C221" s="12"/>
      <c r="D221" s="90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00"/>
      <c r="B222" s="12"/>
      <c r="C222" s="12"/>
      <c r="D222" s="90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00"/>
      <c r="B223" s="12"/>
      <c r="C223" s="12"/>
      <c r="D223" s="90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00"/>
      <c r="B224" s="12"/>
      <c r="C224" s="12"/>
      <c r="D224" s="90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00"/>
      <c r="B225" s="12"/>
      <c r="C225" s="12"/>
      <c r="D225" s="90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00"/>
      <c r="B226" s="12"/>
      <c r="C226" s="12"/>
      <c r="D226" s="90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00"/>
      <c r="B227" s="12"/>
      <c r="C227" s="12"/>
      <c r="D227" s="90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00"/>
      <c r="B228" s="12"/>
      <c r="C228" s="12"/>
      <c r="D228" s="9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00"/>
      <c r="B229" s="12"/>
      <c r="C229" s="12"/>
      <c r="D229" s="90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00"/>
      <c r="B230" s="12"/>
      <c r="C230" s="12"/>
      <c r="D230" s="90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00"/>
      <c r="B231" s="12"/>
      <c r="C231" s="12"/>
      <c r="D231" s="90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00"/>
      <c r="B232" s="12"/>
      <c r="C232" s="12"/>
      <c r="D232" s="90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00"/>
      <c r="B233" s="12"/>
      <c r="C233" s="12"/>
      <c r="D233" s="90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00"/>
      <c r="B234" s="12"/>
      <c r="C234" s="12"/>
      <c r="D234" s="90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00"/>
      <c r="B235" s="12"/>
      <c r="C235" s="12"/>
      <c r="D235" s="90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00"/>
      <c r="B236" s="12"/>
      <c r="C236" s="12"/>
      <c r="D236" s="90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00"/>
      <c r="B237" s="12"/>
      <c r="C237" s="12"/>
      <c r="D237" s="90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00"/>
      <c r="B238" s="12"/>
      <c r="C238" s="12"/>
      <c r="D238" s="90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00"/>
      <c r="B239" s="12"/>
      <c r="C239" s="12"/>
      <c r="D239" s="90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00"/>
      <c r="B240" s="12"/>
      <c r="C240" s="12"/>
      <c r="D240" s="90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00"/>
      <c r="B241" s="12"/>
      <c r="C241" s="12"/>
      <c r="D241" s="90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00"/>
      <c r="B242" s="12"/>
      <c r="C242" s="12"/>
      <c r="D242" s="90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00"/>
      <c r="B243" s="12"/>
      <c r="C243" s="12"/>
      <c r="D243" s="90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00"/>
      <c r="B244" s="12"/>
      <c r="C244" s="12"/>
      <c r="D244" s="90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00"/>
      <c r="B245" s="12"/>
      <c r="C245" s="12"/>
      <c r="D245" s="90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00"/>
      <c r="B246" s="12"/>
      <c r="C246" s="12"/>
      <c r="D246" s="90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00"/>
      <c r="B247" s="12"/>
      <c r="C247" s="12"/>
      <c r="D247" s="90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00"/>
      <c r="B248" s="12"/>
      <c r="C248" s="12"/>
      <c r="D248" s="90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00"/>
      <c r="B249" s="12"/>
      <c r="C249" s="12"/>
      <c r="D249" s="90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00"/>
      <c r="B250" s="12"/>
      <c r="C250" s="12"/>
      <c r="D250" s="90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00"/>
      <c r="B251" s="12"/>
      <c r="C251" s="12"/>
      <c r="D251" s="90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00"/>
      <c r="B252" s="12"/>
      <c r="C252" s="12"/>
      <c r="D252" s="90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00"/>
      <c r="B253" s="12"/>
      <c r="C253" s="12"/>
      <c r="D253" s="90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00"/>
      <c r="B254" s="12"/>
      <c r="C254" s="12"/>
      <c r="D254" s="90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00"/>
      <c r="B255" s="12"/>
      <c r="C255" s="12"/>
      <c r="D255" s="90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00"/>
      <c r="B256" s="12"/>
      <c r="C256" s="12"/>
      <c r="D256" s="9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00"/>
      <c r="B257" s="12"/>
      <c r="C257" s="12"/>
      <c r="D257" s="9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00"/>
      <c r="B258" s="12"/>
      <c r="C258" s="12"/>
      <c r="D258" s="90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00"/>
      <c r="B259" s="12"/>
      <c r="C259" s="12"/>
      <c r="D259" s="90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00"/>
      <c r="B260" s="12"/>
      <c r="C260" s="12"/>
      <c r="D260" s="90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00"/>
      <c r="B261" s="12"/>
      <c r="C261" s="12"/>
      <c r="D261" s="90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00"/>
      <c r="B262" s="12"/>
      <c r="C262" s="12"/>
      <c r="D262" s="90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00"/>
      <c r="B263" s="12"/>
      <c r="C263" s="12"/>
      <c r="D263" s="90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00"/>
      <c r="B264" s="12"/>
      <c r="C264" s="12"/>
      <c r="D264" s="90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00"/>
      <c r="B265" s="12"/>
      <c r="C265" s="12"/>
      <c r="D265" s="90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00"/>
      <c r="B266" s="12"/>
      <c r="C266" s="12"/>
      <c r="D266" s="90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00"/>
      <c r="B267" s="12"/>
      <c r="C267" s="12"/>
      <c r="D267" s="90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00"/>
      <c r="B268" s="12"/>
      <c r="C268" s="12"/>
      <c r="D268" s="90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00"/>
      <c r="B269" s="12"/>
      <c r="C269" s="12"/>
      <c r="D269" s="90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00"/>
      <c r="B270" s="12"/>
      <c r="C270" s="12"/>
      <c r="D270" s="90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00"/>
      <c r="B271" s="12"/>
      <c r="C271" s="12"/>
      <c r="D271" s="90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00"/>
      <c r="B272" s="12"/>
      <c r="C272" s="12"/>
      <c r="D272" s="90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00"/>
      <c r="B273" s="12"/>
      <c r="C273" s="12"/>
      <c r="D273" s="90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00"/>
      <c r="B274" s="12"/>
      <c r="C274" s="12"/>
      <c r="D274" s="90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00"/>
      <c r="B275" s="12"/>
      <c r="C275" s="12"/>
      <c r="D275" s="90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00"/>
      <c r="B276" s="12"/>
      <c r="C276" s="12"/>
      <c r="D276" s="90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00"/>
      <c r="B277" s="12"/>
      <c r="C277" s="12"/>
      <c r="D277" s="90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00"/>
      <c r="B278" s="12"/>
      <c r="C278" s="12"/>
      <c r="D278" s="90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00"/>
      <c r="B279" s="12"/>
      <c r="C279" s="12"/>
      <c r="D279" s="90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00"/>
      <c r="B280" s="12"/>
      <c r="C280" s="12"/>
      <c r="D280" s="90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00"/>
      <c r="B281" s="12"/>
      <c r="C281" s="12"/>
      <c r="D281" s="90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00"/>
      <c r="B282" s="12"/>
      <c r="C282" s="12"/>
      <c r="D282" s="90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00"/>
      <c r="B283" s="12"/>
      <c r="C283" s="12"/>
      <c r="D283" s="90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00"/>
      <c r="B284" s="12"/>
      <c r="C284" s="12"/>
      <c r="D284" s="90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00"/>
      <c r="B285" s="12"/>
      <c r="C285" s="12"/>
      <c r="D285" s="90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00"/>
      <c r="B286" s="12"/>
      <c r="C286" s="12"/>
      <c r="D286" s="90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00"/>
      <c r="B287" s="12"/>
      <c r="C287" s="12"/>
      <c r="D287" s="90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00"/>
      <c r="B288" s="12"/>
      <c r="C288" s="12"/>
      <c r="D288" s="90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00"/>
      <c r="B289" s="12"/>
      <c r="C289" s="12"/>
      <c r="D289" s="90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00"/>
      <c r="B290" s="12"/>
      <c r="C290" s="12"/>
      <c r="D290" s="90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00"/>
      <c r="B291" s="12"/>
      <c r="C291" s="12"/>
      <c r="D291" s="90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00"/>
      <c r="B292" s="12"/>
      <c r="C292" s="12"/>
      <c r="D292" s="90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00"/>
      <c r="B293" s="12"/>
      <c r="C293" s="12"/>
      <c r="D293" s="90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00"/>
      <c r="B294" s="12"/>
      <c r="C294" s="12"/>
      <c r="D294" s="90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00"/>
      <c r="B295" s="12"/>
      <c r="C295" s="12"/>
      <c r="D295" s="90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00"/>
      <c r="B296" s="12"/>
      <c r="C296" s="12"/>
      <c r="D296" s="90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00"/>
      <c r="B297" s="12"/>
      <c r="C297" s="12"/>
      <c r="D297" s="90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00"/>
      <c r="B298" s="12"/>
      <c r="C298" s="12"/>
      <c r="D298" s="90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00"/>
      <c r="B299" s="12"/>
      <c r="C299" s="12"/>
      <c r="D299" s="90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00"/>
      <c r="B300" s="12"/>
      <c r="C300" s="12"/>
      <c r="D300" s="90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00"/>
      <c r="B301" s="12"/>
      <c r="C301" s="12"/>
      <c r="D301" s="90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00"/>
      <c r="B302" s="12"/>
      <c r="C302" s="12"/>
      <c r="D302" s="90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00"/>
      <c r="B303" s="12"/>
      <c r="C303" s="12"/>
      <c r="D303" s="90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00"/>
      <c r="B304" s="12"/>
      <c r="C304" s="12"/>
      <c r="D304" s="90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00"/>
      <c r="B305" s="12"/>
      <c r="C305" s="12"/>
      <c r="D305" s="90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00"/>
      <c r="B306" s="12"/>
      <c r="C306" s="12"/>
      <c r="D306" s="90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00"/>
      <c r="B307" s="12"/>
      <c r="C307" s="12"/>
      <c r="D307" s="90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00"/>
      <c r="B308" s="12"/>
      <c r="C308" s="12"/>
      <c r="D308" s="90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00"/>
      <c r="B309" s="12"/>
      <c r="C309" s="12"/>
      <c r="D309" s="90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00"/>
      <c r="B310" s="12"/>
      <c r="C310" s="12"/>
      <c r="D310" s="90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00"/>
      <c r="B311" s="12"/>
      <c r="C311" s="12"/>
      <c r="D311" s="90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00"/>
      <c r="B312" s="12"/>
      <c r="C312" s="12"/>
      <c r="D312" s="90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00"/>
      <c r="B313" s="12"/>
      <c r="C313" s="12"/>
      <c r="D313" s="90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00"/>
      <c r="B314" s="12"/>
      <c r="C314" s="12"/>
      <c r="D314" s="90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00"/>
      <c r="B315" s="12"/>
      <c r="C315" s="12"/>
      <c r="D315" s="90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00"/>
      <c r="B316" s="12"/>
      <c r="C316" s="12"/>
      <c r="D316" s="90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00"/>
      <c r="B317" s="12"/>
      <c r="C317" s="12"/>
      <c r="D317" s="90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00"/>
      <c r="B318" s="12"/>
      <c r="C318" s="12"/>
      <c r="D318" s="90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00"/>
      <c r="B319" s="12"/>
      <c r="C319" s="12"/>
      <c r="D319" s="90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00"/>
      <c r="B320" s="12"/>
      <c r="C320" s="12"/>
      <c r="D320" s="90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00"/>
      <c r="B321" s="12"/>
      <c r="C321" s="12"/>
      <c r="D321" s="90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00"/>
      <c r="B322" s="12"/>
      <c r="C322" s="12"/>
      <c r="D322" s="90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00"/>
      <c r="B323" s="12"/>
      <c r="C323" s="12"/>
      <c r="D323" s="90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00"/>
      <c r="B324" s="12"/>
      <c r="C324" s="12"/>
      <c r="D324" s="90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00"/>
      <c r="B325" s="12"/>
      <c r="C325" s="12"/>
      <c r="D325" s="90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00"/>
      <c r="B326" s="12"/>
      <c r="C326" s="12"/>
      <c r="D326" s="90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00"/>
      <c r="B327" s="12"/>
      <c r="C327" s="12"/>
      <c r="D327" s="90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00"/>
      <c r="B328" s="12"/>
      <c r="C328" s="12"/>
      <c r="D328" s="90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00"/>
      <c r="B329" s="12"/>
      <c r="C329" s="12"/>
      <c r="D329" s="90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00"/>
      <c r="B330" s="12"/>
      <c r="C330" s="12"/>
      <c r="D330" s="90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00"/>
      <c r="B331" s="12"/>
      <c r="C331" s="12"/>
      <c r="D331" s="90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00"/>
      <c r="B332" s="12"/>
      <c r="C332" s="12"/>
      <c r="D332" s="90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00"/>
      <c r="B333" s="12"/>
      <c r="C333" s="12"/>
      <c r="D333" s="90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00"/>
      <c r="B334" s="12"/>
      <c r="C334" s="12"/>
      <c r="D334" s="90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00"/>
      <c r="B335" s="12"/>
      <c r="C335" s="12"/>
      <c r="D335" s="90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00"/>
      <c r="B336" s="12"/>
      <c r="C336" s="12"/>
      <c r="D336" s="90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00"/>
      <c r="B337" s="12"/>
      <c r="C337" s="12"/>
      <c r="D337" s="90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00"/>
      <c r="B338" s="12"/>
      <c r="C338" s="12"/>
      <c r="D338" s="90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00"/>
      <c r="B339" s="12"/>
      <c r="C339" s="12"/>
      <c r="D339" s="90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00"/>
      <c r="B340" s="12"/>
      <c r="C340" s="12"/>
      <c r="D340" s="90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00"/>
      <c r="B341" s="12"/>
      <c r="C341" s="12"/>
      <c r="D341" s="90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00"/>
      <c r="B342" s="12"/>
      <c r="C342" s="12"/>
      <c r="D342" s="90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00"/>
      <c r="B343" s="12"/>
      <c r="C343" s="12"/>
      <c r="D343" s="90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00"/>
      <c r="B344" s="12"/>
      <c r="C344" s="12"/>
      <c r="D344" s="90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00"/>
      <c r="B345" s="12"/>
      <c r="C345" s="12"/>
      <c r="D345" s="90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00"/>
      <c r="B346" s="12"/>
      <c r="C346" s="12"/>
      <c r="D346" s="90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00"/>
      <c r="B347" s="12"/>
      <c r="C347" s="12"/>
      <c r="D347" s="90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00"/>
      <c r="B348" s="12"/>
      <c r="C348" s="12"/>
      <c r="D348" s="90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00"/>
      <c r="B349" s="12"/>
      <c r="C349" s="12"/>
      <c r="D349" s="90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00"/>
      <c r="B350" s="12"/>
      <c r="C350" s="12"/>
      <c r="D350" s="90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00"/>
      <c r="B351" s="12"/>
      <c r="C351" s="12"/>
      <c r="D351" s="90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00"/>
      <c r="B352" s="12"/>
      <c r="C352" s="12"/>
      <c r="D352" s="90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00"/>
      <c r="B353" s="12"/>
      <c r="C353" s="12"/>
      <c r="D353" s="90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00"/>
      <c r="B354" s="12"/>
      <c r="C354" s="12"/>
      <c r="D354" s="90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00"/>
      <c r="B355" s="12"/>
      <c r="C355" s="12"/>
      <c r="D355" s="90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00"/>
      <c r="B356" s="12"/>
      <c r="C356" s="12"/>
      <c r="D356" s="90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00"/>
      <c r="B357" s="12"/>
      <c r="C357" s="12"/>
      <c r="D357" s="90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00"/>
      <c r="B358" s="12"/>
      <c r="C358" s="12"/>
      <c r="D358" s="90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00"/>
      <c r="B359" s="12"/>
      <c r="C359" s="12"/>
      <c r="D359" s="90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00"/>
      <c r="B360" s="12"/>
      <c r="C360" s="12"/>
      <c r="D360" s="90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00"/>
      <c r="B361" s="12"/>
      <c r="C361" s="12"/>
      <c r="D361" s="90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00"/>
      <c r="B362" s="12"/>
      <c r="C362" s="12"/>
      <c r="D362" s="90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00"/>
      <c r="B363" s="12"/>
      <c r="C363" s="12"/>
      <c r="D363" s="90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00"/>
      <c r="B364" s="12"/>
      <c r="C364" s="12"/>
      <c r="D364" s="90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00"/>
      <c r="B365" s="12"/>
      <c r="C365" s="12"/>
      <c r="D365" s="90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00"/>
      <c r="B366" s="12"/>
      <c r="C366" s="12"/>
      <c r="D366" s="90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00"/>
      <c r="B367" s="12"/>
      <c r="C367" s="12"/>
      <c r="D367" s="90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00"/>
      <c r="B368" s="12"/>
      <c r="C368" s="12"/>
      <c r="D368" s="90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00"/>
      <c r="B369" s="12"/>
      <c r="C369" s="12"/>
      <c r="D369" s="90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00"/>
      <c r="B370" s="12"/>
      <c r="C370" s="12"/>
      <c r="D370" s="90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00"/>
      <c r="B371" s="12"/>
      <c r="C371" s="12"/>
      <c r="D371" s="90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00"/>
      <c r="B372" s="12"/>
      <c r="C372" s="12"/>
      <c r="D372" s="90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00"/>
      <c r="B373" s="12"/>
      <c r="C373" s="12"/>
      <c r="D373" s="90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00"/>
      <c r="B374" s="12"/>
      <c r="C374" s="12"/>
      <c r="D374" s="90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00"/>
      <c r="B375" s="12"/>
      <c r="C375" s="12"/>
      <c r="D375" s="90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00"/>
      <c r="B376" s="12"/>
      <c r="C376" s="12"/>
      <c r="D376" s="90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00"/>
      <c r="B377" s="12"/>
      <c r="C377" s="12"/>
      <c r="D377" s="90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00"/>
      <c r="B378" s="12"/>
      <c r="C378" s="12"/>
      <c r="D378" s="90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00"/>
      <c r="B379" s="12"/>
      <c r="C379" s="12"/>
      <c r="D379" s="90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00"/>
      <c r="B380" s="12"/>
      <c r="C380" s="12"/>
      <c r="D380" s="90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00"/>
      <c r="B381" s="12"/>
      <c r="C381" s="12"/>
      <c r="D381" s="90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00"/>
      <c r="B382" s="12"/>
      <c r="C382" s="12"/>
      <c r="D382" s="90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00"/>
      <c r="B383" s="12"/>
      <c r="C383" s="12"/>
      <c r="D383" s="90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00"/>
      <c r="B384" s="12"/>
      <c r="C384" s="12"/>
      <c r="D384" s="90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00"/>
      <c r="B385" s="12"/>
      <c r="C385" s="12"/>
      <c r="D385" s="90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00"/>
      <c r="B386" s="12"/>
      <c r="C386" s="12"/>
      <c r="D386" s="90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00"/>
      <c r="B387" s="12"/>
      <c r="C387" s="12"/>
      <c r="D387" s="90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00"/>
      <c r="B388" s="12"/>
      <c r="C388" s="12"/>
      <c r="D388" s="90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00"/>
      <c r="B389" s="12"/>
      <c r="C389" s="12"/>
      <c r="D389" s="90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00"/>
      <c r="B390" s="12"/>
      <c r="C390" s="12"/>
      <c r="D390" s="90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00"/>
      <c r="B391" s="12"/>
      <c r="C391" s="12"/>
      <c r="D391" s="90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00"/>
      <c r="B392" s="12"/>
      <c r="C392" s="12"/>
      <c r="D392" s="90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00"/>
      <c r="B393" s="12"/>
      <c r="C393" s="12"/>
      <c r="D393" s="90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00"/>
      <c r="B394" s="12"/>
      <c r="C394" s="12"/>
      <c r="D394" s="90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00"/>
      <c r="B395" s="12"/>
      <c r="C395" s="12"/>
      <c r="D395" s="90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00"/>
      <c r="B396" s="12"/>
      <c r="C396" s="12"/>
      <c r="D396" s="90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00"/>
      <c r="B397" s="12"/>
      <c r="C397" s="12"/>
      <c r="D397" s="90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00"/>
      <c r="B398" s="12"/>
      <c r="C398" s="12"/>
      <c r="D398" s="90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00"/>
      <c r="B399" s="12"/>
      <c r="C399" s="12"/>
      <c r="D399" s="90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00"/>
      <c r="B400" s="12"/>
      <c r="C400" s="12"/>
      <c r="D400" s="90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00"/>
      <c r="B401" s="12"/>
      <c r="C401" s="12"/>
      <c r="D401" s="90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00"/>
      <c r="B402" s="12"/>
      <c r="C402" s="12"/>
      <c r="D402" s="90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00"/>
      <c r="B403" s="12"/>
      <c r="C403" s="12"/>
      <c r="D403" s="90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00"/>
      <c r="B404" s="12"/>
      <c r="C404" s="12"/>
      <c r="D404" s="90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00"/>
      <c r="B405" s="12"/>
      <c r="C405" s="12"/>
      <c r="D405" s="90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00"/>
      <c r="B406" s="12"/>
      <c r="C406" s="12"/>
      <c r="D406" s="90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00"/>
      <c r="B407" s="12"/>
      <c r="C407" s="12"/>
      <c r="D407" s="90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00"/>
      <c r="B408" s="12"/>
      <c r="C408" s="12"/>
      <c r="D408" s="90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00"/>
      <c r="B409" s="12"/>
      <c r="C409" s="12"/>
      <c r="D409" s="90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00"/>
      <c r="B410" s="12"/>
      <c r="C410" s="12"/>
      <c r="D410" s="90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00"/>
      <c r="B411" s="12"/>
      <c r="C411" s="12"/>
      <c r="D411" s="90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00"/>
      <c r="B412" s="12"/>
      <c r="C412" s="12"/>
      <c r="D412" s="90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00"/>
      <c r="B413" s="12"/>
      <c r="C413" s="12"/>
      <c r="D413" s="90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00"/>
      <c r="B414" s="12"/>
      <c r="C414" s="12"/>
      <c r="D414" s="90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00"/>
      <c r="B415" s="12"/>
      <c r="C415" s="12"/>
      <c r="D415" s="90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00"/>
      <c r="B416" s="12"/>
      <c r="C416" s="12"/>
      <c r="D416" s="90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00"/>
      <c r="B417" s="12"/>
      <c r="C417" s="12"/>
      <c r="D417" s="90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00"/>
      <c r="B418" s="12"/>
      <c r="C418" s="12"/>
      <c r="D418" s="90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00"/>
      <c r="B419" s="12"/>
      <c r="C419" s="12"/>
      <c r="D419" s="90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00"/>
      <c r="B420" s="12"/>
      <c r="C420" s="12"/>
      <c r="D420" s="90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00"/>
      <c r="B421" s="12"/>
      <c r="C421" s="12"/>
      <c r="D421" s="90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00"/>
      <c r="B422" s="12"/>
      <c r="C422" s="12"/>
      <c r="D422" s="90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00"/>
      <c r="B423" s="12"/>
      <c r="C423" s="12"/>
      <c r="D423" s="90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00"/>
      <c r="B424" s="12"/>
      <c r="C424" s="12"/>
      <c r="D424" s="90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00"/>
      <c r="B425" s="12"/>
      <c r="C425" s="12"/>
      <c r="D425" s="90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00"/>
      <c r="B426" s="12"/>
      <c r="C426" s="12"/>
      <c r="D426" s="90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00"/>
      <c r="B427" s="12"/>
      <c r="C427" s="12"/>
      <c r="D427" s="90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00"/>
      <c r="B428" s="12"/>
      <c r="C428" s="12"/>
      <c r="D428" s="90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00"/>
      <c r="B429" s="12"/>
      <c r="C429" s="12"/>
      <c r="D429" s="90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00"/>
      <c r="B430" s="12"/>
      <c r="C430" s="12"/>
      <c r="D430" s="90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00"/>
      <c r="B431" s="12"/>
      <c r="C431" s="12"/>
      <c r="D431" s="90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00"/>
      <c r="B432" s="12"/>
      <c r="C432" s="12"/>
      <c r="D432" s="90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00"/>
      <c r="B433" s="12"/>
      <c r="C433" s="12"/>
      <c r="D433" s="90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00"/>
      <c r="B434" s="12"/>
      <c r="C434" s="12"/>
      <c r="D434" s="90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00"/>
      <c r="B435" s="12"/>
      <c r="C435" s="12"/>
      <c r="D435" s="90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00"/>
      <c r="B436" s="12"/>
      <c r="C436" s="12"/>
      <c r="D436" s="90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00"/>
      <c r="B437" s="12"/>
      <c r="C437" s="12"/>
      <c r="D437" s="90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00"/>
      <c r="B438" s="12"/>
      <c r="C438" s="12"/>
      <c r="D438" s="90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00"/>
      <c r="B439" s="12"/>
      <c r="C439" s="12"/>
      <c r="D439" s="90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00"/>
      <c r="B440" s="12"/>
      <c r="C440" s="12"/>
      <c r="D440" s="90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00"/>
      <c r="B441" s="12"/>
      <c r="C441" s="12"/>
      <c r="D441" s="90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00"/>
      <c r="B442" s="12"/>
      <c r="C442" s="12"/>
      <c r="D442" s="90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00"/>
      <c r="B443" s="12"/>
      <c r="C443" s="12"/>
      <c r="D443" s="90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00"/>
      <c r="B444" s="12"/>
      <c r="C444" s="12"/>
      <c r="D444" s="90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00"/>
      <c r="B445" s="12"/>
      <c r="C445" s="12"/>
      <c r="D445" s="90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00"/>
      <c r="B446" s="12"/>
      <c r="C446" s="12"/>
      <c r="D446" s="90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00"/>
      <c r="B447" s="12"/>
      <c r="C447" s="12"/>
      <c r="D447" s="90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00"/>
      <c r="B448" s="12"/>
      <c r="C448" s="12"/>
      <c r="D448" s="90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00"/>
      <c r="B449" s="12"/>
      <c r="C449" s="12"/>
      <c r="D449" s="90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00"/>
      <c r="B450" s="12"/>
      <c r="C450" s="12"/>
      <c r="D450" s="90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00"/>
      <c r="B451" s="12"/>
      <c r="C451" s="12"/>
      <c r="D451" s="90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00"/>
      <c r="B452" s="12"/>
      <c r="C452" s="12"/>
      <c r="D452" s="90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00"/>
      <c r="B453" s="12"/>
      <c r="C453" s="12"/>
      <c r="D453" s="90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00"/>
      <c r="B454" s="12"/>
      <c r="C454" s="12"/>
      <c r="D454" s="90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00"/>
      <c r="B455" s="12"/>
      <c r="C455" s="12"/>
      <c r="D455" s="90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00"/>
      <c r="B456" s="12"/>
      <c r="C456" s="12"/>
      <c r="D456" s="90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00"/>
      <c r="B457" s="12"/>
      <c r="C457" s="12"/>
      <c r="D457" s="90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00"/>
      <c r="B458" s="12"/>
      <c r="C458" s="12"/>
      <c r="D458" s="90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00"/>
      <c r="B459" s="12"/>
      <c r="C459" s="12"/>
      <c r="D459" s="90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00"/>
      <c r="B460" s="12"/>
      <c r="C460" s="12"/>
      <c r="D460" s="90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00"/>
      <c r="B461" s="12"/>
      <c r="C461" s="12"/>
      <c r="D461" s="90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00"/>
      <c r="B462" s="12"/>
      <c r="C462" s="12"/>
      <c r="D462" s="90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00"/>
      <c r="B463" s="12"/>
      <c r="C463" s="12"/>
      <c r="D463" s="90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00"/>
      <c r="B464" s="12"/>
      <c r="C464" s="12"/>
      <c r="D464" s="90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00"/>
      <c r="B465" s="12"/>
      <c r="C465" s="12"/>
      <c r="D465" s="90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00"/>
      <c r="B466" s="12"/>
      <c r="C466" s="12"/>
      <c r="D466" s="90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00"/>
      <c r="B467" s="12"/>
      <c r="C467" s="12"/>
      <c r="D467" s="90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00"/>
      <c r="B468" s="12"/>
      <c r="C468" s="12"/>
      <c r="D468" s="90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00"/>
      <c r="B469" s="12"/>
      <c r="C469" s="12"/>
      <c r="D469" s="90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00"/>
      <c r="B470" s="12"/>
      <c r="C470" s="12"/>
      <c r="D470" s="90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00"/>
      <c r="B471" s="12"/>
      <c r="C471" s="12"/>
      <c r="D471" s="90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00"/>
      <c r="B472" s="12"/>
      <c r="C472" s="12"/>
      <c r="D472" s="90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00"/>
      <c r="B473" s="12"/>
      <c r="C473" s="12"/>
      <c r="D473" s="90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00"/>
      <c r="B474" s="12"/>
      <c r="C474" s="12"/>
      <c r="D474" s="90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00"/>
      <c r="B475" s="12"/>
      <c r="C475" s="12"/>
      <c r="D475" s="90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00"/>
      <c r="B476" s="12"/>
      <c r="C476" s="12"/>
      <c r="D476" s="90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00"/>
      <c r="B477" s="12"/>
      <c r="C477" s="12"/>
      <c r="D477" s="90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00"/>
      <c r="B478" s="12"/>
      <c r="C478" s="12"/>
      <c r="D478" s="90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00"/>
      <c r="B479" s="12"/>
      <c r="C479" s="12"/>
      <c r="D479" s="90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00"/>
      <c r="B480" s="12"/>
      <c r="C480" s="12"/>
      <c r="D480" s="90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00"/>
      <c r="B481" s="12"/>
      <c r="C481" s="12"/>
      <c r="D481" s="90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00"/>
      <c r="B482" s="12"/>
      <c r="C482" s="12"/>
      <c r="D482" s="90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00"/>
      <c r="B483" s="12"/>
      <c r="C483" s="12"/>
      <c r="D483" s="90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00"/>
      <c r="B484" s="12"/>
      <c r="C484" s="12"/>
      <c r="D484" s="90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00"/>
      <c r="B485" s="12"/>
      <c r="C485" s="12"/>
      <c r="D485" s="90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00"/>
      <c r="B486" s="12"/>
      <c r="C486" s="12"/>
      <c r="D486" s="90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00"/>
      <c r="B487" s="12"/>
      <c r="C487" s="12"/>
      <c r="D487" s="90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00"/>
      <c r="B488" s="12"/>
      <c r="C488" s="12"/>
      <c r="D488" s="90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00"/>
      <c r="B489" s="12"/>
      <c r="C489" s="12"/>
      <c r="D489" s="90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00"/>
      <c r="B490" s="12"/>
      <c r="C490" s="12"/>
      <c r="D490" s="90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00"/>
      <c r="B491" s="12"/>
      <c r="C491" s="12"/>
      <c r="D491" s="90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00"/>
      <c r="B492" s="12"/>
      <c r="C492" s="12"/>
      <c r="D492" s="90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00"/>
      <c r="B493" s="12"/>
      <c r="C493" s="12"/>
      <c r="D493" s="90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00"/>
      <c r="B494" s="12"/>
      <c r="C494" s="12"/>
      <c r="D494" s="90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00"/>
      <c r="B495" s="12"/>
      <c r="C495" s="12"/>
      <c r="D495" s="90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00"/>
      <c r="B496" s="12"/>
      <c r="C496" s="12"/>
      <c r="D496" s="90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00"/>
      <c r="B497" s="12"/>
      <c r="C497" s="12"/>
      <c r="D497" s="90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00"/>
      <c r="B498" s="12"/>
      <c r="C498" s="12"/>
      <c r="D498" s="90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00"/>
      <c r="B499" s="12"/>
      <c r="C499" s="12"/>
      <c r="D499" s="90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00"/>
      <c r="B500" s="12"/>
      <c r="C500" s="12"/>
      <c r="D500" s="90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00"/>
      <c r="B501" s="12"/>
      <c r="C501" s="12"/>
      <c r="D501" s="90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00"/>
      <c r="B502" s="12"/>
      <c r="C502" s="12"/>
      <c r="D502" s="90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00"/>
      <c r="B503" s="12"/>
      <c r="C503" s="12"/>
      <c r="D503" s="90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00"/>
      <c r="B504" s="12"/>
      <c r="C504" s="12"/>
      <c r="D504" s="90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00"/>
      <c r="B505" s="12"/>
      <c r="C505" s="12"/>
      <c r="D505" s="90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00"/>
      <c r="B506" s="12"/>
      <c r="C506" s="12"/>
      <c r="D506" s="90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00"/>
      <c r="B507" s="12"/>
      <c r="C507" s="12"/>
      <c r="D507" s="90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00"/>
      <c r="B508" s="12"/>
      <c r="C508" s="12"/>
      <c r="D508" s="90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00"/>
      <c r="B509" s="12"/>
      <c r="C509" s="12"/>
      <c r="D509" s="90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00"/>
      <c r="B510" s="12"/>
      <c r="C510" s="12"/>
      <c r="D510" s="90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00"/>
      <c r="B511" s="12"/>
      <c r="C511" s="12"/>
      <c r="D511" s="90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00"/>
      <c r="B512" s="12"/>
      <c r="C512" s="12"/>
      <c r="D512" s="90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00"/>
      <c r="B513" s="12"/>
      <c r="C513" s="12"/>
      <c r="D513" s="90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00"/>
      <c r="B514" s="12"/>
      <c r="C514" s="12"/>
      <c r="D514" s="90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00"/>
      <c r="B515" s="12"/>
      <c r="C515" s="12"/>
      <c r="D515" s="90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00"/>
      <c r="B516" s="12"/>
      <c r="C516" s="12"/>
      <c r="D516" s="90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00"/>
      <c r="B517" s="12"/>
      <c r="C517" s="12"/>
      <c r="D517" s="90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00"/>
      <c r="B518" s="12"/>
      <c r="C518" s="12"/>
      <c r="D518" s="90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00"/>
      <c r="B519" s="12"/>
      <c r="C519" s="12"/>
      <c r="D519" s="90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00"/>
      <c r="B520" s="12"/>
      <c r="C520" s="12"/>
      <c r="D520" s="90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00"/>
      <c r="B521" s="12"/>
      <c r="C521" s="12"/>
      <c r="D521" s="90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00"/>
      <c r="B522" s="12"/>
      <c r="C522" s="12"/>
      <c r="D522" s="90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00"/>
      <c r="B523" s="12"/>
      <c r="C523" s="12"/>
      <c r="D523" s="90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00"/>
      <c r="B524" s="12"/>
      <c r="C524" s="12"/>
      <c r="D524" s="90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00"/>
      <c r="B525" s="12"/>
      <c r="C525" s="12"/>
      <c r="D525" s="90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00"/>
      <c r="B526" s="12"/>
      <c r="C526" s="12"/>
      <c r="D526" s="90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00"/>
      <c r="B527" s="12"/>
      <c r="C527" s="12"/>
      <c r="D527" s="90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00"/>
      <c r="B528" s="12"/>
      <c r="C528" s="12"/>
      <c r="D528" s="90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00"/>
      <c r="B529" s="12"/>
      <c r="C529" s="12"/>
      <c r="D529" s="90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00"/>
      <c r="B530" s="12"/>
      <c r="C530" s="12"/>
      <c r="D530" s="90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00"/>
      <c r="B531" s="12"/>
      <c r="C531" s="12"/>
      <c r="D531" s="90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00"/>
      <c r="B532" s="12"/>
      <c r="C532" s="12"/>
      <c r="D532" s="90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00"/>
      <c r="B533" s="12"/>
      <c r="C533" s="12"/>
      <c r="D533" s="90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00"/>
      <c r="B534" s="12"/>
      <c r="C534" s="12"/>
      <c r="D534" s="90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00"/>
      <c r="B535" s="12"/>
      <c r="C535" s="12"/>
      <c r="D535" s="90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00"/>
      <c r="B536" s="12"/>
      <c r="C536" s="12"/>
      <c r="D536" s="90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00"/>
      <c r="B537" s="12"/>
      <c r="C537" s="12"/>
      <c r="D537" s="90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00"/>
      <c r="B538" s="12"/>
      <c r="C538" s="12"/>
      <c r="D538" s="90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00"/>
      <c r="B539" s="12"/>
      <c r="C539" s="12"/>
      <c r="D539" s="90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00"/>
      <c r="B540" s="12"/>
      <c r="C540" s="12"/>
      <c r="D540" s="90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00"/>
      <c r="B541" s="12"/>
      <c r="C541" s="12"/>
      <c r="D541" s="90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00"/>
      <c r="B542" s="12"/>
      <c r="C542" s="12"/>
      <c r="D542" s="90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00"/>
      <c r="B543" s="12"/>
      <c r="C543" s="12"/>
      <c r="D543" s="90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00"/>
      <c r="B544" s="12"/>
      <c r="C544" s="12"/>
      <c r="D544" s="90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00"/>
      <c r="B545" s="12"/>
      <c r="C545" s="12"/>
      <c r="D545" s="90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00"/>
      <c r="B546" s="12"/>
      <c r="C546" s="12"/>
      <c r="D546" s="90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00"/>
      <c r="B547" s="12"/>
      <c r="C547" s="12"/>
      <c r="D547" s="90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00"/>
      <c r="B548" s="12"/>
      <c r="C548" s="12"/>
      <c r="D548" s="90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00"/>
      <c r="B549" s="12"/>
      <c r="C549" s="12"/>
      <c r="D549" s="90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00"/>
      <c r="B550" s="12"/>
      <c r="C550" s="12"/>
      <c r="D550" s="90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00"/>
      <c r="B551" s="12"/>
      <c r="C551" s="12"/>
      <c r="D551" s="90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00"/>
      <c r="B552" s="12"/>
      <c r="C552" s="12"/>
      <c r="D552" s="90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00"/>
      <c r="B553" s="12"/>
      <c r="C553" s="12"/>
      <c r="D553" s="90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00"/>
      <c r="B554" s="12"/>
      <c r="C554" s="12"/>
      <c r="D554" s="90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00"/>
      <c r="B555" s="12"/>
      <c r="C555" s="12"/>
      <c r="D555" s="90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00"/>
      <c r="B556" s="12"/>
      <c r="C556" s="12"/>
      <c r="D556" s="90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00"/>
      <c r="B557" s="12"/>
      <c r="C557" s="12"/>
      <c r="D557" s="90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00"/>
      <c r="B558" s="12"/>
      <c r="C558" s="12"/>
      <c r="D558" s="90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00"/>
      <c r="B559" s="12"/>
      <c r="C559" s="12"/>
      <c r="D559" s="90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00"/>
      <c r="B560" s="12"/>
      <c r="C560" s="12"/>
      <c r="D560" s="90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00"/>
      <c r="B561" s="12"/>
      <c r="C561" s="12"/>
      <c r="D561" s="90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00"/>
      <c r="B562" s="12"/>
      <c r="C562" s="12"/>
      <c r="D562" s="90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00"/>
      <c r="B563" s="12"/>
      <c r="C563" s="12"/>
      <c r="D563" s="90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00"/>
      <c r="B564" s="12"/>
      <c r="C564" s="12"/>
      <c r="D564" s="90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00"/>
      <c r="B565" s="12"/>
      <c r="C565" s="12"/>
      <c r="D565" s="90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00"/>
      <c r="B566" s="12"/>
      <c r="C566" s="12"/>
      <c r="D566" s="90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00"/>
      <c r="B567" s="12"/>
      <c r="C567" s="12"/>
      <c r="D567" s="90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00"/>
      <c r="B568" s="12"/>
      <c r="C568" s="12"/>
      <c r="D568" s="90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00"/>
      <c r="B569" s="12"/>
      <c r="C569" s="12"/>
      <c r="D569" s="90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00"/>
      <c r="B570" s="12"/>
      <c r="C570" s="12"/>
      <c r="D570" s="90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00"/>
      <c r="B571" s="12"/>
      <c r="C571" s="12"/>
      <c r="D571" s="90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00"/>
      <c r="B572" s="12"/>
      <c r="C572" s="12"/>
      <c r="D572" s="90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00"/>
      <c r="B573" s="12"/>
      <c r="C573" s="12"/>
      <c r="D573" s="90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00"/>
      <c r="B574" s="12"/>
      <c r="C574" s="12"/>
      <c r="D574" s="90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00"/>
      <c r="B575" s="12"/>
      <c r="C575" s="12"/>
      <c r="D575" s="90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00"/>
      <c r="B576" s="12"/>
      <c r="C576" s="12"/>
      <c r="D576" s="90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00"/>
      <c r="B577" s="12"/>
      <c r="C577" s="12"/>
      <c r="D577" s="90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00"/>
      <c r="B578" s="12"/>
      <c r="C578" s="12"/>
      <c r="D578" s="90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00"/>
      <c r="B579" s="12"/>
      <c r="C579" s="12"/>
      <c r="D579" s="90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00"/>
      <c r="B580" s="12"/>
      <c r="C580" s="12"/>
      <c r="D580" s="90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00"/>
      <c r="B581" s="12"/>
      <c r="C581" s="12"/>
      <c r="D581" s="90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00"/>
      <c r="B582" s="12"/>
      <c r="C582" s="12"/>
      <c r="D582" s="90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00"/>
      <c r="B583" s="12"/>
      <c r="C583" s="12"/>
      <c r="D583" s="90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00"/>
      <c r="B584" s="12"/>
      <c r="C584" s="12"/>
      <c r="D584" s="90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00"/>
      <c r="B585" s="12"/>
      <c r="C585" s="12"/>
      <c r="D585" s="90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00"/>
      <c r="B586" s="12"/>
      <c r="C586" s="12"/>
      <c r="D586" s="90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00"/>
      <c r="B587" s="12"/>
      <c r="C587" s="12"/>
      <c r="D587" s="90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00"/>
      <c r="B588" s="12"/>
      <c r="C588" s="12"/>
      <c r="D588" s="90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00"/>
      <c r="B589" s="12"/>
      <c r="C589" s="12"/>
      <c r="D589" s="90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00"/>
      <c r="B590" s="12"/>
      <c r="C590" s="12"/>
      <c r="D590" s="90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00"/>
      <c r="B591" s="12"/>
      <c r="C591" s="12"/>
      <c r="D591" s="90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00"/>
      <c r="B592" s="12"/>
      <c r="C592" s="12"/>
      <c r="D592" s="90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00"/>
      <c r="B593" s="12"/>
      <c r="C593" s="12"/>
      <c r="D593" s="90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00"/>
      <c r="B594" s="12"/>
      <c r="C594" s="12"/>
      <c r="D594" s="90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00"/>
      <c r="B595" s="12"/>
      <c r="C595" s="12"/>
      <c r="D595" s="90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00"/>
      <c r="B596" s="12"/>
      <c r="C596" s="12"/>
      <c r="D596" s="90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00"/>
      <c r="B597" s="12"/>
      <c r="C597" s="12"/>
      <c r="D597" s="90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00"/>
      <c r="B598" s="12"/>
      <c r="C598" s="12"/>
      <c r="D598" s="90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00"/>
      <c r="B599" s="12"/>
      <c r="C599" s="12"/>
      <c r="D599" s="90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00"/>
      <c r="B600" s="12"/>
      <c r="C600" s="12"/>
      <c r="D600" s="90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00"/>
      <c r="B601" s="12"/>
      <c r="C601" s="12"/>
      <c r="D601" s="90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00"/>
      <c r="B602" s="12"/>
      <c r="C602" s="12"/>
      <c r="D602" s="90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00"/>
      <c r="B603" s="12"/>
      <c r="C603" s="12"/>
      <c r="D603" s="90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00"/>
      <c r="B604" s="12"/>
      <c r="C604" s="12"/>
      <c r="D604" s="90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00"/>
      <c r="B605" s="12"/>
      <c r="C605" s="12"/>
      <c r="D605" s="90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00"/>
      <c r="B606" s="12"/>
      <c r="C606" s="12"/>
      <c r="D606" s="90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00"/>
      <c r="B607" s="12"/>
      <c r="C607" s="12"/>
      <c r="D607" s="90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00"/>
      <c r="B608" s="12"/>
      <c r="C608" s="12"/>
      <c r="D608" s="90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00"/>
      <c r="B609" s="12"/>
      <c r="C609" s="12"/>
      <c r="D609" s="90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00"/>
      <c r="B610" s="12"/>
      <c r="C610" s="12"/>
      <c r="D610" s="90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00"/>
      <c r="B611" s="12"/>
      <c r="C611" s="12"/>
      <c r="D611" s="90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00"/>
      <c r="B612" s="12"/>
      <c r="C612" s="12"/>
      <c r="D612" s="90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00"/>
      <c r="B613" s="12"/>
      <c r="C613" s="12"/>
      <c r="D613" s="90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00"/>
      <c r="B614" s="12"/>
      <c r="C614" s="12"/>
      <c r="D614" s="90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00"/>
      <c r="B615" s="12"/>
      <c r="C615" s="12"/>
      <c r="D615" s="90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00"/>
      <c r="B616" s="12"/>
      <c r="C616" s="12"/>
      <c r="D616" s="90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00"/>
      <c r="B617" s="12"/>
      <c r="C617" s="12"/>
      <c r="D617" s="90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00"/>
      <c r="B618" s="12"/>
      <c r="C618" s="12"/>
      <c r="D618" s="90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00"/>
      <c r="B619" s="12"/>
      <c r="C619" s="12"/>
      <c r="D619" s="90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00"/>
      <c r="B620" s="12"/>
      <c r="C620" s="12"/>
      <c r="D620" s="90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00"/>
      <c r="B621" s="12"/>
      <c r="C621" s="12"/>
      <c r="D621" s="90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00"/>
      <c r="B622" s="12"/>
      <c r="C622" s="12"/>
      <c r="D622" s="90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00"/>
      <c r="B623" s="12"/>
      <c r="C623" s="12"/>
      <c r="D623" s="90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00"/>
      <c r="B624" s="12"/>
      <c r="C624" s="12"/>
      <c r="D624" s="90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00"/>
      <c r="B625" s="12"/>
      <c r="C625" s="12"/>
      <c r="D625" s="90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00"/>
      <c r="B626" s="12"/>
      <c r="C626" s="12"/>
      <c r="D626" s="90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00"/>
      <c r="B627" s="12"/>
      <c r="C627" s="12"/>
      <c r="D627" s="90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00"/>
      <c r="B628" s="12"/>
      <c r="C628" s="12"/>
      <c r="D628" s="90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00"/>
      <c r="B629" s="12"/>
      <c r="C629" s="12"/>
      <c r="D629" s="90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00"/>
      <c r="B630" s="12"/>
      <c r="C630" s="12"/>
      <c r="D630" s="90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00"/>
      <c r="B631" s="12"/>
      <c r="C631" s="12"/>
      <c r="D631" s="90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00"/>
      <c r="B632" s="12"/>
      <c r="C632" s="12"/>
      <c r="D632" s="90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00"/>
      <c r="B633" s="12"/>
      <c r="C633" s="12"/>
      <c r="D633" s="90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00"/>
      <c r="B634" s="12"/>
      <c r="C634" s="12"/>
      <c r="D634" s="90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00"/>
      <c r="B635" s="12"/>
      <c r="C635" s="12"/>
      <c r="D635" s="90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00"/>
      <c r="B636" s="12"/>
      <c r="C636" s="12"/>
      <c r="D636" s="90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00"/>
      <c r="B637" s="12"/>
      <c r="C637" s="12"/>
      <c r="D637" s="90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00"/>
      <c r="B638" s="12"/>
      <c r="C638" s="12"/>
      <c r="D638" s="90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00"/>
      <c r="B639" s="12"/>
      <c r="C639" s="12"/>
      <c r="D639" s="90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00"/>
      <c r="B640" s="12"/>
      <c r="C640" s="12"/>
      <c r="D640" s="90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00"/>
      <c r="B641" s="12"/>
      <c r="C641" s="12"/>
      <c r="D641" s="90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00"/>
      <c r="B642" s="12"/>
      <c r="C642" s="12"/>
      <c r="D642" s="90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00"/>
      <c r="B643" s="12"/>
      <c r="C643" s="12"/>
      <c r="D643" s="90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00"/>
      <c r="B644" s="12"/>
      <c r="C644" s="12"/>
      <c r="D644" s="90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00"/>
      <c r="B645" s="12"/>
      <c r="C645" s="12"/>
      <c r="D645" s="90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00"/>
      <c r="B646" s="12"/>
      <c r="C646" s="12"/>
      <c r="D646" s="90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00"/>
      <c r="B647" s="12"/>
      <c r="C647" s="12"/>
      <c r="D647" s="90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00"/>
      <c r="B648" s="12"/>
      <c r="C648" s="12"/>
      <c r="D648" s="90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00"/>
      <c r="B649" s="12"/>
      <c r="C649" s="12"/>
      <c r="D649" s="90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00"/>
      <c r="B650" s="12"/>
      <c r="C650" s="12"/>
      <c r="D650" s="90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00"/>
      <c r="B651" s="12"/>
      <c r="C651" s="12"/>
      <c r="D651" s="90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00"/>
      <c r="B652" s="12"/>
      <c r="C652" s="12"/>
      <c r="D652" s="90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00"/>
      <c r="B653" s="12"/>
      <c r="C653" s="12"/>
      <c r="D653" s="90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00"/>
      <c r="B654" s="12"/>
      <c r="C654" s="12"/>
      <c r="D654" s="90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00"/>
      <c r="B655" s="12"/>
      <c r="C655" s="12"/>
      <c r="D655" s="90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00"/>
      <c r="B656" s="12"/>
      <c r="C656" s="12"/>
      <c r="D656" s="90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00"/>
      <c r="B657" s="12"/>
      <c r="C657" s="12"/>
      <c r="D657" s="90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00"/>
      <c r="B658" s="12"/>
      <c r="C658" s="12"/>
      <c r="D658" s="90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00"/>
      <c r="B659" s="12"/>
      <c r="C659" s="12"/>
      <c r="D659" s="90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00"/>
      <c r="B660" s="12"/>
      <c r="C660" s="12"/>
      <c r="D660" s="90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00"/>
      <c r="B661" s="12"/>
      <c r="C661" s="12"/>
      <c r="D661" s="90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00"/>
      <c r="B662" s="12"/>
      <c r="C662" s="12"/>
      <c r="D662" s="90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00"/>
      <c r="B663" s="12"/>
      <c r="C663" s="12"/>
      <c r="D663" s="90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00"/>
      <c r="B664" s="12"/>
      <c r="C664" s="12"/>
      <c r="D664" s="90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00"/>
      <c r="B665" s="12"/>
      <c r="C665" s="12"/>
      <c r="D665" s="90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00"/>
      <c r="B666" s="12"/>
      <c r="C666" s="12"/>
      <c r="D666" s="90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00"/>
      <c r="B667" s="12"/>
      <c r="C667" s="12"/>
      <c r="D667" s="90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00"/>
      <c r="B668" s="12"/>
      <c r="C668" s="12"/>
      <c r="D668" s="90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00"/>
      <c r="B669" s="12"/>
      <c r="C669" s="12"/>
      <c r="D669" s="90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00"/>
      <c r="B670" s="12"/>
      <c r="C670" s="12"/>
      <c r="D670" s="90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00"/>
      <c r="B671" s="12"/>
      <c r="C671" s="12"/>
      <c r="D671" s="90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00"/>
      <c r="B672" s="12"/>
      <c r="C672" s="12"/>
      <c r="D672" s="90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00"/>
      <c r="B673" s="12"/>
      <c r="C673" s="12"/>
      <c r="D673" s="90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00"/>
      <c r="B674" s="12"/>
      <c r="C674" s="12"/>
      <c r="D674" s="90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00"/>
      <c r="B675" s="12"/>
      <c r="C675" s="12"/>
      <c r="D675" s="90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00"/>
      <c r="B676" s="12"/>
      <c r="C676" s="12"/>
      <c r="D676" s="90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00"/>
      <c r="B677" s="12"/>
      <c r="C677" s="12"/>
      <c r="D677" s="90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00"/>
      <c r="B678" s="12"/>
      <c r="C678" s="12"/>
      <c r="D678" s="90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00"/>
      <c r="B679" s="12"/>
      <c r="C679" s="12"/>
      <c r="D679" s="90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00"/>
      <c r="B680" s="12"/>
      <c r="C680" s="12"/>
      <c r="D680" s="90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00"/>
      <c r="B681" s="12"/>
      <c r="C681" s="12"/>
      <c r="D681" s="90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00"/>
      <c r="B682" s="12"/>
      <c r="C682" s="12"/>
      <c r="D682" s="90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00"/>
      <c r="B683" s="12"/>
      <c r="C683" s="12"/>
      <c r="D683" s="90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00"/>
      <c r="B684" s="12"/>
      <c r="C684" s="12"/>
      <c r="D684" s="90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00"/>
      <c r="B685" s="12"/>
      <c r="C685" s="12"/>
      <c r="D685" s="90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00"/>
      <c r="B686" s="12"/>
      <c r="C686" s="12"/>
      <c r="D686" s="90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00"/>
      <c r="B687" s="12"/>
      <c r="C687" s="12"/>
      <c r="D687" s="90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00"/>
      <c r="B688" s="12"/>
      <c r="C688" s="12"/>
      <c r="D688" s="90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00"/>
      <c r="B689" s="12"/>
      <c r="C689" s="12"/>
      <c r="D689" s="90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00"/>
      <c r="B690" s="12"/>
      <c r="C690" s="12"/>
      <c r="D690" s="90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00"/>
      <c r="B691" s="12"/>
      <c r="C691" s="12"/>
      <c r="D691" s="90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00"/>
      <c r="B692" s="12"/>
      <c r="C692" s="12"/>
      <c r="D692" s="90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00"/>
      <c r="B693" s="12"/>
      <c r="C693" s="12"/>
      <c r="D693" s="90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00"/>
      <c r="B694" s="12"/>
      <c r="C694" s="12"/>
      <c r="D694" s="90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00"/>
      <c r="B695" s="12"/>
      <c r="C695" s="12"/>
      <c r="D695" s="90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00"/>
      <c r="B696" s="12"/>
      <c r="C696" s="12"/>
      <c r="D696" s="90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00"/>
      <c r="B697" s="12"/>
      <c r="C697" s="12"/>
      <c r="D697" s="90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00"/>
      <c r="B698" s="12"/>
      <c r="C698" s="12"/>
      <c r="D698" s="90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00"/>
      <c r="B699" s="12"/>
      <c r="C699" s="12"/>
      <c r="D699" s="90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00"/>
      <c r="B700" s="12"/>
      <c r="C700" s="12"/>
      <c r="D700" s="90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00"/>
      <c r="B701" s="12"/>
      <c r="C701" s="12"/>
      <c r="D701" s="90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00"/>
      <c r="B702" s="12"/>
      <c r="C702" s="12"/>
      <c r="D702" s="90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00"/>
      <c r="B703" s="12"/>
      <c r="C703" s="12"/>
      <c r="D703" s="90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00"/>
      <c r="B704" s="12"/>
      <c r="C704" s="12"/>
      <c r="D704" s="90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00"/>
      <c r="B705" s="12"/>
      <c r="C705" s="12"/>
      <c r="D705" s="90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00"/>
      <c r="B706" s="12"/>
      <c r="C706" s="12"/>
      <c r="D706" s="90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00"/>
      <c r="B707" s="12"/>
      <c r="C707" s="12"/>
      <c r="D707" s="90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00"/>
      <c r="B708" s="12"/>
      <c r="C708" s="12"/>
      <c r="D708" s="90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00"/>
      <c r="B709" s="12"/>
      <c r="C709" s="12"/>
      <c r="D709" s="90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00"/>
      <c r="B710" s="12"/>
      <c r="C710" s="12"/>
      <c r="D710" s="90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00"/>
      <c r="B711" s="12"/>
      <c r="C711" s="12"/>
      <c r="D711" s="90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00"/>
      <c r="B712" s="12"/>
      <c r="C712" s="12"/>
      <c r="D712" s="90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00"/>
      <c r="B713" s="12"/>
      <c r="C713" s="12"/>
      <c r="D713" s="90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00"/>
      <c r="B714" s="12"/>
      <c r="C714" s="12"/>
      <c r="D714" s="90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00"/>
      <c r="B715" s="12"/>
      <c r="C715" s="12"/>
      <c r="D715" s="90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00"/>
      <c r="B716" s="12"/>
      <c r="C716" s="12"/>
      <c r="D716" s="90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00"/>
      <c r="B717" s="12"/>
      <c r="C717" s="12"/>
      <c r="D717" s="90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00"/>
      <c r="B718" s="12"/>
      <c r="C718" s="12"/>
      <c r="D718" s="90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00"/>
      <c r="B719" s="12"/>
      <c r="C719" s="12"/>
      <c r="D719" s="90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00"/>
      <c r="B720" s="12"/>
      <c r="C720" s="12"/>
      <c r="D720" s="90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00"/>
      <c r="B721" s="12"/>
      <c r="C721" s="12"/>
      <c r="D721" s="90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00"/>
      <c r="B722" s="12"/>
      <c r="C722" s="12"/>
      <c r="D722" s="90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00"/>
      <c r="B723" s="12"/>
      <c r="C723" s="12"/>
      <c r="D723" s="90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00"/>
      <c r="B724" s="12"/>
      <c r="C724" s="12"/>
      <c r="D724" s="90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00"/>
      <c r="B725" s="12"/>
      <c r="C725" s="12"/>
      <c r="D725" s="90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00"/>
      <c r="B726" s="12"/>
      <c r="C726" s="12"/>
      <c r="D726" s="90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00"/>
      <c r="B727" s="12"/>
      <c r="C727" s="12"/>
      <c r="D727" s="90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00"/>
      <c r="B728" s="12"/>
      <c r="C728" s="12"/>
      <c r="D728" s="90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00"/>
      <c r="B729" s="12"/>
      <c r="C729" s="12"/>
      <c r="D729" s="90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00"/>
      <c r="B730" s="12"/>
      <c r="C730" s="12"/>
      <c r="D730" s="90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00"/>
      <c r="B731" s="12"/>
      <c r="C731" s="12"/>
      <c r="D731" s="90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00"/>
      <c r="B732" s="12"/>
      <c r="C732" s="12"/>
      <c r="D732" s="90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00"/>
      <c r="B733" s="12"/>
      <c r="C733" s="12"/>
      <c r="D733" s="90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00"/>
      <c r="B734" s="12"/>
      <c r="C734" s="12"/>
      <c r="D734" s="90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00"/>
      <c r="B735" s="12"/>
      <c r="C735" s="12"/>
      <c r="D735" s="90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00"/>
      <c r="B736" s="12"/>
      <c r="C736" s="12"/>
      <c r="D736" s="90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00"/>
      <c r="B737" s="12"/>
      <c r="C737" s="12"/>
      <c r="D737" s="90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00"/>
      <c r="B738" s="12"/>
      <c r="C738" s="12"/>
      <c r="D738" s="90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00"/>
      <c r="B739" s="12"/>
      <c r="C739" s="12"/>
      <c r="D739" s="90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00"/>
      <c r="B740" s="12"/>
      <c r="C740" s="12"/>
      <c r="D740" s="90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00"/>
      <c r="B741" s="12"/>
      <c r="C741" s="12"/>
      <c r="D741" s="90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00"/>
      <c r="B742" s="12"/>
      <c r="C742" s="12"/>
      <c r="D742" s="90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00"/>
      <c r="B743" s="12"/>
      <c r="C743" s="12"/>
      <c r="D743" s="90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00"/>
      <c r="B744" s="12"/>
      <c r="C744" s="12"/>
      <c r="D744" s="90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00"/>
      <c r="B745" s="12"/>
      <c r="C745" s="12"/>
      <c r="D745" s="90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00"/>
      <c r="B746" s="12"/>
      <c r="C746" s="12"/>
      <c r="D746" s="90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00"/>
      <c r="B747" s="12"/>
      <c r="C747" s="12"/>
      <c r="D747" s="90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00"/>
      <c r="B748" s="12"/>
      <c r="C748" s="12"/>
      <c r="D748" s="90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00"/>
      <c r="B749" s="12"/>
      <c r="C749" s="12"/>
      <c r="D749" s="90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00"/>
      <c r="B750" s="12"/>
      <c r="C750" s="12"/>
      <c r="D750" s="90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00"/>
      <c r="B751" s="12"/>
      <c r="C751" s="12"/>
      <c r="D751" s="90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00"/>
      <c r="B752" s="12"/>
      <c r="C752" s="12"/>
      <c r="D752" s="90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00"/>
      <c r="B753" s="12"/>
      <c r="C753" s="12"/>
      <c r="D753" s="90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00"/>
      <c r="B754" s="12"/>
      <c r="C754" s="12"/>
      <c r="D754" s="90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00"/>
      <c r="B755" s="12"/>
      <c r="C755" s="12"/>
      <c r="D755" s="90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00"/>
      <c r="B756" s="12"/>
      <c r="C756" s="12"/>
      <c r="D756" s="90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00"/>
      <c r="B757" s="12"/>
      <c r="C757" s="12"/>
      <c r="D757" s="90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00"/>
      <c r="B758" s="12"/>
      <c r="C758" s="12"/>
      <c r="D758" s="90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00"/>
      <c r="B759" s="12"/>
      <c r="C759" s="12"/>
      <c r="D759" s="90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00"/>
      <c r="B760" s="12"/>
      <c r="C760" s="12"/>
      <c r="D760" s="90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00"/>
      <c r="B761" s="12"/>
      <c r="C761" s="12"/>
      <c r="D761" s="90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00"/>
      <c r="B762" s="12"/>
      <c r="C762" s="12"/>
      <c r="D762" s="90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00"/>
      <c r="B763" s="12"/>
      <c r="C763" s="12"/>
      <c r="D763" s="90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00"/>
      <c r="B764" s="12"/>
      <c r="C764" s="12"/>
      <c r="D764" s="90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00"/>
      <c r="B765" s="12"/>
      <c r="C765" s="12"/>
      <c r="D765" s="90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00"/>
      <c r="B766" s="12"/>
      <c r="C766" s="12"/>
      <c r="D766" s="90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00"/>
      <c r="B767" s="12"/>
      <c r="C767" s="12"/>
      <c r="D767" s="90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00"/>
      <c r="B768" s="12"/>
      <c r="C768" s="12"/>
      <c r="D768" s="90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00"/>
      <c r="B769" s="12"/>
      <c r="C769" s="12"/>
      <c r="D769" s="90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00"/>
      <c r="B770" s="12"/>
      <c r="C770" s="12"/>
      <c r="D770" s="90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00"/>
      <c r="B771" s="12"/>
      <c r="C771" s="12"/>
      <c r="D771" s="90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00"/>
      <c r="B772" s="12"/>
      <c r="C772" s="12"/>
      <c r="D772" s="90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00"/>
      <c r="B773" s="12"/>
      <c r="C773" s="12"/>
      <c r="D773" s="90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00"/>
      <c r="B774" s="12"/>
      <c r="C774" s="12"/>
      <c r="D774" s="90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00"/>
      <c r="B775" s="12"/>
      <c r="C775" s="12"/>
      <c r="D775" s="90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00"/>
      <c r="B776" s="12"/>
      <c r="C776" s="12"/>
      <c r="D776" s="90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00"/>
      <c r="B777" s="12"/>
      <c r="C777" s="12"/>
      <c r="D777" s="90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00"/>
      <c r="B778" s="12"/>
      <c r="C778" s="12"/>
      <c r="D778" s="90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00"/>
      <c r="B779" s="12"/>
      <c r="C779" s="12"/>
      <c r="D779" s="90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00"/>
      <c r="B780" s="12"/>
      <c r="C780" s="12"/>
      <c r="D780" s="90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00"/>
      <c r="B781" s="12"/>
      <c r="C781" s="12"/>
      <c r="D781" s="90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00"/>
      <c r="B782" s="12"/>
      <c r="C782" s="12"/>
      <c r="D782" s="90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00"/>
      <c r="B783" s="12"/>
      <c r="C783" s="12"/>
      <c r="D783" s="90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00"/>
      <c r="B784" s="12"/>
      <c r="C784" s="12"/>
      <c r="D784" s="90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00"/>
      <c r="B785" s="12"/>
      <c r="C785" s="12"/>
      <c r="D785" s="90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00"/>
      <c r="B786" s="12"/>
      <c r="C786" s="12"/>
      <c r="D786" s="90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00"/>
      <c r="B787" s="12"/>
      <c r="C787" s="12"/>
      <c r="D787" s="90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00"/>
      <c r="B788" s="12"/>
      <c r="C788" s="12"/>
      <c r="D788" s="90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00"/>
      <c r="B789" s="12"/>
      <c r="C789" s="12"/>
      <c r="D789" s="90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00"/>
      <c r="B790" s="12"/>
      <c r="C790" s="12"/>
      <c r="D790" s="90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00"/>
      <c r="B791" s="12"/>
      <c r="C791" s="12"/>
      <c r="D791" s="90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00"/>
      <c r="B792" s="12"/>
      <c r="C792" s="12"/>
      <c r="D792" s="90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00"/>
      <c r="B793" s="12"/>
      <c r="C793" s="12"/>
      <c r="D793" s="90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00"/>
      <c r="B794" s="12"/>
      <c r="C794" s="12"/>
      <c r="D794" s="90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00"/>
      <c r="B795" s="12"/>
      <c r="C795" s="12"/>
      <c r="D795" s="90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00"/>
      <c r="B796" s="12"/>
      <c r="C796" s="12"/>
      <c r="D796" s="90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00"/>
      <c r="B797" s="12"/>
      <c r="C797" s="12"/>
      <c r="D797" s="90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00"/>
      <c r="B798" s="12"/>
      <c r="C798" s="12"/>
      <c r="D798" s="90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00"/>
      <c r="B799" s="12"/>
      <c r="C799" s="12"/>
      <c r="D799" s="90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00"/>
      <c r="B800" s="12"/>
      <c r="C800" s="12"/>
      <c r="D800" s="90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00"/>
      <c r="B801" s="12"/>
      <c r="C801" s="12"/>
      <c r="D801" s="90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00"/>
      <c r="B802" s="12"/>
      <c r="C802" s="12"/>
      <c r="D802" s="90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00"/>
      <c r="B803" s="12"/>
      <c r="C803" s="12"/>
      <c r="D803" s="90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00"/>
      <c r="B804" s="12"/>
      <c r="C804" s="12"/>
      <c r="D804" s="90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00"/>
      <c r="B805" s="12"/>
      <c r="C805" s="12"/>
      <c r="D805" s="90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00"/>
      <c r="B806" s="12"/>
      <c r="C806" s="12"/>
      <c r="D806" s="90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00"/>
      <c r="B807" s="12"/>
      <c r="C807" s="12"/>
      <c r="D807" s="90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00"/>
      <c r="B808" s="12"/>
      <c r="C808" s="12"/>
      <c r="D808" s="90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00"/>
      <c r="B809" s="12"/>
      <c r="C809" s="12"/>
      <c r="D809" s="90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00"/>
      <c r="B810" s="12"/>
      <c r="C810" s="12"/>
      <c r="D810" s="90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00"/>
      <c r="B811" s="12"/>
      <c r="C811" s="12"/>
      <c r="D811" s="90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00"/>
      <c r="B812" s="12"/>
      <c r="C812" s="12"/>
      <c r="D812" s="90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00"/>
      <c r="B813" s="12"/>
      <c r="C813" s="12"/>
      <c r="D813" s="90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00"/>
      <c r="B814" s="12"/>
      <c r="C814" s="12"/>
      <c r="D814" s="90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00"/>
      <c r="B815" s="12"/>
      <c r="C815" s="12"/>
      <c r="D815" s="90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00"/>
      <c r="B816" s="12"/>
      <c r="C816" s="12"/>
      <c r="D816" s="90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00"/>
      <c r="B817" s="12"/>
      <c r="C817" s="12"/>
      <c r="D817" s="90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00"/>
      <c r="B818" s="12"/>
      <c r="C818" s="12"/>
      <c r="D818" s="90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00"/>
      <c r="B819" s="12"/>
      <c r="C819" s="12"/>
      <c r="D819" s="90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00"/>
      <c r="B820" s="12"/>
      <c r="C820" s="12"/>
      <c r="D820" s="90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00"/>
      <c r="B821" s="12"/>
      <c r="C821" s="12"/>
      <c r="D821" s="90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00"/>
      <c r="B822" s="12"/>
      <c r="C822" s="12"/>
      <c r="D822" s="90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00"/>
      <c r="B823" s="12"/>
      <c r="C823" s="12"/>
      <c r="D823" s="90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00"/>
      <c r="B824" s="12"/>
      <c r="C824" s="12"/>
      <c r="D824" s="90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00"/>
      <c r="B825" s="12"/>
      <c r="C825" s="12"/>
      <c r="D825" s="90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00"/>
      <c r="B826" s="12"/>
      <c r="C826" s="12"/>
      <c r="D826" s="90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00"/>
      <c r="B827" s="12"/>
      <c r="C827" s="12"/>
      <c r="D827" s="90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00"/>
      <c r="B828" s="12"/>
      <c r="C828" s="12"/>
      <c r="D828" s="90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00"/>
      <c r="B829" s="12"/>
      <c r="C829" s="12"/>
      <c r="D829" s="90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00"/>
      <c r="B830" s="12"/>
      <c r="C830" s="12"/>
      <c r="D830" s="90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00"/>
      <c r="B831" s="12"/>
      <c r="C831" s="12"/>
      <c r="D831" s="90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00"/>
      <c r="B832" s="12"/>
      <c r="C832" s="12"/>
      <c r="D832" s="90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00"/>
      <c r="B833" s="12"/>
      <c r="C833" s="12"/>
      <c r="D833" s="90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00"/>
      <c r="B834" s="12"/>
      <c r="C834" s="12"/>
      <c r="D834" s="90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00"/>
      <c r="B835" s="12"/>
      <c r="C835" s="12"/>
      <c r="D835" s="90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00"/>
      <c r="B836" s="12"/>
      <c r="C836" s="12"/>
      <c r="D836" s="90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00"/>
      <c r="B837" s="12"/>
      <c r="C837" s="12"/>
      <c r="D837" s="90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00"/>
      <c r="B838" s="12"/>
      <c r="C838" s="12"/>
      <c r="D838" s="90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00"/>
      <c r="B839" s="12"/>
      <c r="C839" s="12"/>
      <c r="D839" s="90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00"/>
      <c r="B840" s="12"/>
      <c r="C840" s="12"/>
      <c r="D840" s="90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00"/>
      <c r="B841" s="12"/>
      <c r="C841" s="12"/>
      <c r="D841" s="90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00"/>
      <c r="B842" s="12"/>
      <c r="C842" s="12"/>
      <c r="D842" s="90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00"/>
      <c r="B843" s="12"/>
      <c r="C843" s="12"/>
      <c r="D843" s="90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00"/>
      <c r="B844" s="12"/>
      <c r="C844" s="12"/>
      <c r="D844" s="90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00"/>
      <c r="B845" s="12"/>
      <c r="C845" s="12"/>
      <c r="D845" s="90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00"/>
      <c r="B846" s="12"/>
      <c r="C846" s="12"/>
      <c r="D846" s="90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00"/>
      <c r="B847" s="12"/>
      <c r="C847" s="12"/>
      <c r="D847" s="90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00"/>
      <c r="B848" s="12"/>
      <c r="C848" s="12"/>
      <c r="D848" s="90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00"/>
      <c r="B849" s="12"/>
      <c r="C849" s="12"/>
      <c r="D849" s="90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00"/>
      <c r="B850" s="12"/>
      <c r="C850" s="12"/>
      <c r="D850" s="90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00"/>
      <c r="B851" s="12"/>
      <c r="C851" s="12"/>
      <c r="D851" s="90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00"/>
      <c r="B852" s="12"/>
      <c r="C852" s="12"/>
      <c r="D852" s="90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00"/>
      <c r="B853" s="12"/>
      <c r="C853" s="12"/>
      <c r="D853" s="90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00"/>
      <c r="B854" s="12"/>
      <c r="C854" s="12"/>
      <c r="D854" s="90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00"/>
      <c r="B855" s="12"/>
      <c r="C855" s="12"/>
      <c r="D855" s="90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00"/>
      <c r="B856" s="12"/>
      <c r="C856" s="12"/>
      <c r="D856" s="90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00"/>
      <c r="B857" s="12"/>
      <c r="C857" s="12"/>
      <c r="D857" s="90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00"/>
      <c r="B858" s="12"/>
      <c r="C858" s="12"/>
      <c r="D858" s="90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00"/>
      <c r="B859" s="12"/>
      <c r="C859" s="12"/>
      <c r="D859" s="90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00"/>
      <c r="B860" s="12"/>
      <c r="C860" s="12"/>
      <c r="D860" s="90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00"/>
      <c r="B861" s="12"/>
      <c r="C861" s="12"/>
      <c r="D861" s="90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00"/>
      <c r="B862" s="12"/>
      <c r="C862" s="12"/>
      <c r="D862" s="90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00"/>
      <c r="B863" s="12"/>
      <c r="C863" s="12"/>
      <c r="D863" s="90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00"/>
      <c r="B864" s="12"/>
      <c r="C864" s="12"/>
      <c r="D864" s="90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00"/>
      <c r="B865" s="12"/>
      <c r="C865" s="12"/>
      <c r="D865" s="90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00"/>
      <c r="B866" s="12"/>
      <c r="C866" s="12"/>
      <c r="D866" s="90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00"/>
      <c r="B867" s="12"/>
      <c r="C867" s="12"/>
      <c r="D867" s="90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00"/>
      <c r="B868" s="12"/>
      <c r="C868" s="12"/>
      <c r="D868" s="90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00"/>
      <c r="B869" s="12"/>
      <c r="C869" s="12"/>
      <c r="D869" s="90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00"/>
      <c r="B870" s="12"/>
      <c r="C870" s="12"/>
      <c r="D870" s="90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00"/>
      <c r="B871" s="12"/>
      <c r="C871" s="12"/>
      <c r="D871" s="90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00"/>
      <c r="B872" s="12"/>
      <c r="C872" s="12"/>
      <c r="D872" s="90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00"/>
      <c r="B873" s="12"/>
      <c r="C873" s="12"/>
      <c r="D873" s="90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00"/>
      <c r="B874" s="12"/>
      <c r="C874" s="12"/>
      <c r="D874" s="90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00"/>
      <c r="B875" s="12"/>
      <c r="C875" s="12"/>
      <c r="D875" s="90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00"/>
      <c r="B876" s="12"/>
      <c r="C876" s="12"/>
      <c r="D876" s="90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00"/>
      <c r="B877" s="12"/>
      <c r="C877" s="12"/>
      <c r="D877" s="90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00"/>
      <c r="B878" s="12"/>
      <c r="C878" s="12"/>
      <c r="D878" s="90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00"/>
      <c r="B879" s="12"/>
      <c r="C879" s="12"/>
      <c r="D879" s="90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00"/>
      <c r="B880" s="12"/>
      <c r="C880" s="12"/>
      <c r="D880" s="90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00"/>
      <c r="B881" s="12"/>
      <c r="C881" s="12"/>
      <c r="D881" s="90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00"/>
      <c r="B882" s="12"/>
      <c r="C882" s="12"/>
      <c r="D882" s="90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00"/>
      <c r="B883" s="12"/>
      <c r="C883" s="12"/>
      <c r="D883" s="90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00"/>
      <c r="B884" s="12"/>
      <c r="C884" s="12"/>
      <c r="D884" s="90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00"/>
      <c r="B885" s="12"/>
      <c r="C885" s="12"/>
      <c r="D885" s="90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00"/>
      <c r="B886" s="12"/>
      <c r="C886" s="12"/>
      <c r="D886" s="90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00"/>
      <c r="B887" s="12"/>
      <c r="C887" s="12"/>
      <c r="D887" s="90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00"/>
      <c r="B888" s="12"/>
      <c r="C888" s="12"/>
      <c r="D888" s="90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00"/>
      <c r="B889" s="12"/>
      <c r="C889" s="12"/>
      <c r="D889" s="90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00"/>
      <c r="B890" s="12"/>
      <c r="C890" s="12"/>
      <c r="D890" s="90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00"/>
      <c r="B891" s="12"/>
      <c r="C891" s="12"/>
      <c r="D891" s="90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00"/>
      <c r="B892" s="12"/>
      <c r="C892" s="12"/>
      <c r="D892" s="90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00"/>
      <c r="B893" s="12"/>
      <c r="C893" s="12"/>
      <c r="D893" s="90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00"/>
      <c r="B894" s="12"/>
      <c r="C894" s="12"/>
      <c r="D894" s="90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00"/>
      <c r="B895" s="12"/>
      <c r="C895" s="12"/>
      <c r="D895" s="90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00"/>
      <c r="B896" s="12"/>
      <c r="C896" s="12"/>
      <c r="D896" s="90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00"/>
      <c r="B897" s="12"/>
      <c r="C897" s="12"/>
      <c r="D897" s="90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00"/>
      <c r="B898" s="12"/>
      <c r="C898" s="12"/>
      <c r="D898" s="90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00"/>
      <c r="B899" s="12"/>
      <c r="C899" s="12"/>
      <c r="D899" s="90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00"/>
      <c r="B900" s="12"/>
      <c r="C900" s="12"/>
      <c r="D900" s="90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00"/>
      <c r="B901" s="12"/>
      <c r="C901" s="12"/>
      <c r="D901" s="90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00"/>
      <c r="B902" s="12"/>
      <c r="C902" s="12"/>
      <c r="D902" s="90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00"/>
      <c r="B903" s="12"/>
      <c r="C903" s="12"/>
      <c r="D903" s="90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00"/>
      <c r="B904" s="12"/>
      <c r="C904" s="12"/>
      <c r="D904" s="90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00"/>
      <c r="B905" s="12"/>
      <c r="C905" s="12"/>
      <c r="D905" s="90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00"/>
      <c r="B906" s="12"/>
      <c r="C906" s="12"/>
      <c r="D906" s="90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00"/>
      <c r="B907" s="12"/>
      <c r="C907" s="12"/>
      <c r="D907" s="90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00"/>
      <c r="B908" s="12"/>
      <c r="C908" s="12"/>
      <c r="D908" s="90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00"/>
      <c r="B909" s="12"/>
      <c r="C909" s="12"/>
      <c r="D909" s="90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00"/>
      <c r="B910" s="12"/>
      <c r="C910" s="12"/>
      <c r="D910" s="90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00"/>
      <c r="B911" s="12"/>
      <c r="C911" s="12"/>
      <c r="D911" s="90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00"/>
      <c r="B912" s="12"/>
      <c r="C912" s="12"/>
      <c r="D912" s="90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00"/>
      <c r="B913" s="12"/>
      <c r="C913" s="12"/>
      <c r="D913" s="90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00"/>
      <c r="B914" s="12"/>
      <c r="C914" s="12"/>
      <c r="D914" s="90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00"/>
      <c r="B915" s="12"/>
      <c r="C915" s="12"/>
      <c r="D915" s="90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00"/>
      <c r="B916" s="12"/>
      <c r="C916" s="12"/>
      <c r="D916" s="90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00"/>
      <c r="B917" s="12"/>
      <c r="C917" s="12"/>
      <c r="D917" s="90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00"/>
      <c r="B918" s="12"/>
      <c r="C918" s="12"/>
      <c r="D918" s="90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00"/>
      <c r="B919" s="12"/>
      <c r="C919" s="12"/>
      <c r="D919" s="90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00"/>
      <c r="B920" s="12"/>
      <c r="C920" s="12"/>
      <c r="D920" s="90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00"/>
      <c r="B921" s="12"/>
      <c r="C921" s="12"/>
      <c r="D921" s="90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00"/>
      <c r="B922" s="12"/>
      <c r="C922" s="12"/>
      <c r="D922" s="90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00"/>
      <c r="B923" s="12"/>
      <c r="C923" s="12"/>
      <c r="D923" s="90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00"/>
      <c r="B924" s="12"/>
      <c r="C924" s="12"/>
      <c r="D924" s="90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00"/>
      <c r="B925" s="12"/>
      <c r="C925" s="12"/>
      <c r="D925" s="90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00"/>
      <c r="B926" s="12"/>
      <c r="C926" s="12"/>
      <c r="D926" s="90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00"/>
      <c r="B927" s="12"/>
      <c r="C927" s="12"/>
      <c r="D927" s="90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00"/>
      <c r="B928" s="12"/>
      <c r="C928" s="12"/>
      <c r="D928" s="90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00"/>
      <c r="B929" s="12"/>
      <c r="C929" s="12"/>
      <c r="D929" s="90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00"/>
      <c r="B930" s="12"/>
      <c r="C930" s="12"/>
      <c r="D930" s="90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00"/>
      <c r="B931" s="12"/>
      <c r="C931" s="12"/>
      <c r="D931" s="90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00"/>
      <c r="B932" s="12"/>
      <c r="C932" s="12"/>
      <c r="D932" s="90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00"/>
      <c r="B933" s="12"/>
      <c r="C933" s="12"/>
      <c r="D933" s="90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00"/>
      <c r="B934" s="12"/>
      <c r="C934" s="12"/>
      <c r="D934" s="90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00"/>
      <c r="B935" s="12"/>
      <c r="C935" s="12"/>
      <c r="D935" s="90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00"/>
      <c r="B936" s="12"/>
      <c r="C936" s="12"/>
      <c r="D936" s="90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00"/>
      <c r="B937" s="12"/>
      <c r="C937" s="12"/>
      <c r="D937" s="90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00"/>
      <c r="B938" s="12"/>
      <c r="C938" s="12"/>
      <c r="D938" s="90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00"/>
      <c r="B939" s="12"/>
      <c r="C939" s="12"/>
      <c r="D939" s="90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00"/>
      <c r="B940" s="12"/>
      <c r="C940" s="12"/>
      <c r="D940" s="90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00"/>
      <c r="B941" s="12"/>
      <c r="C941" s="12"/>
      <c r="D941" s="90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00"/>
      <c r="B942" s="12"/>
      <c r="C942" s="12"/>
      <c r="D942" s="90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00"/>
      <c r="B943" s="12"/>
      <c r="C943" s="12"/>
      <c r="D943" s="90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00"/>
      <c r="B944" s="12"/>
      <c r="C944" s="12"/>
      <c r="D944" s="90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00"/>
      <c r="B945" s="12"/>
      <c r="C945" s="12"/>
      <c r="D945" s="90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00"/>
      <c r="B946" s="12"/>
      <c r="C946" s="12"/>
      <c r="D946" s="90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00"/>
      <c r="B947" s="12"/>
      <c r="C947" s="12"/>
      <c r="D947" s="90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00"/>
      <c r="B948" s="12"/>
      <c r="C948" s="12"/>
      <c r="D948" s="90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00"/>
      <c r="B949" s="12"/>
      <c r="C949" s="12"/>
      <c r="D949" s="90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00"/>
      <c r="B950" s="12"/>
      <c r="C950" s="12"/>
      <c r="D950" s="90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00"/>
      <c r="B951" s="12"/>
      <c r="C951" s="12"/>
      <c r="D951" s="90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00"/>
      <c r="B952" s="12"/>
      <c r="C952" s="12"/>
      <c r="D952" s="90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00"/>
      <c r="B953" s="12"/>
      <c r="C953" s="12"/>
      <c r="D953" s="90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00"/>
      <c r="B954" s="12"/>
      <c r="C954" s="12"/>
      <c r="D954" s="90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00"/>
      <c r="B955" s="12"/>
      <c r="C955" s="12"/>
      <c r="D955" s="90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00"/>
      <c r="B956" s="12"/>
      <c r="C956" s="12"/>
      <c r="D956" s="90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00"/>
      <c r="B957" s="12"/>
      <c r="C957" s="12"/>
      <c r="D957" s="90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00"/>
      <c r="B958" s="12"/>
      <c r="C958" s="12"/>
      <c r="D958" s="90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00"/>
      <c r="B959" s="12"/>
      <c r="C959" s="12"/>
      <c r="D959" s="90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00"/>
      <c r="B960" s="12"/>
      <c r="C960" s="12"/>
      <c r="D960" s="90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00"/>
      <c r="B961" s="12"/>
      <c r="C961" s="12"/>
      <c r="D961" s="90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00"/>
      <c r="B962" s="12"/>
      <c r="C962" s="12"/>
      <c r="D962" s="90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00"/>
      <c r="B963" s="12"/>
      <c r="C963" s="12"/>
      <c r="D963" s="90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00"/>
      <c r="B964" s="12"/>
      <c r="C964" s="12"/>
      <c r="D964" s="90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00"/>
      <c r="B965" s="12"/>
      <c r="C965" s="12"/>
      <c r="D965" s="90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00"/>
      <c r="B966" s="12"/>
      <c r="C966" s="12"/>
      <c r="D966" s="90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00"/>
      <c r="B967" s="12"/>
      <c r="C967" s="12"/>
      <c r="D967" s="90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00"/>
      <c r="B968" s="12"/>
      <c r="C968" s="12"/>
      <c r="D968" s="90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00"/>
      <c r="B969" s="12"/>
      <c r="C969" s="12"/>
      <c r="D969" s="90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00"/>
      <c r="B970" s="12"/>
      <c r="C970" s="12"/>
      <c r="D970" s="90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00"/>
      <c r="B971" s="12"/>
      <c r="C971" s="12"/>
      <c r="D971" s="90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00"/>
      <c r="B972" s="12"/>
      <c r="C972" s="12"/>
      <c r="D972" s="90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00"/>
      <c r="B973" s="12"/>
      <c r="C973" s="12"/>
      <c r="D973" s="90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00"/>
      <c r="B974" s="12"/>
      <c r="C974" s="12"/>
      <c r="D974" s="90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00"/>
      <c r="B975" s="12"/>
      <c r="C975" s="12"/>
      <c r="D975" s="90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00"/>
      <c r="B976" s="12"/>
      <c r="C976" s="12"/>
      <c r="D976" s="90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00"/>
      <c r="B977" s="12"/>
      <c r="C977" s="12"/>
      <c r="D977" s="90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00"/>
      <c r="B978" s="12"/>
      <c r="C978" s="12"/>
      <c r="D978" s="90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00"/>
      <c r="B979" s="12"/>
      <c r="C979" s="12"/>
      <c r="D979" s="90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00"/>
      <c r="B980" s="12"/>
      <c r="C980" s="12"/>
      <c r="D980" s="90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00"/>
      <c r="B981" s="12"/>
      <c r="C981" s="12"/>
      <c r="D981" s="90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00"/>
      <c r="B982" s="12"/>
      <c r="C982" s="12"/>
      <c r="D982" s="90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00"/>
      <c r="B983" s="12"/>
      <c r="C983" s="12"/>
      <c r="D983" s="90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00"/>
      <c r="B984" s="12"/>
      <c r="C984" s="12"/>
      <c r="D984" s="90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00"/>
      <c r="B985" s="12"/>
      <c r="C985" s="12"/>
      <c r="D985" s="90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00"/>
      <c r="B986" s="12"/>
      <c r="C986" s="12"/>
      <c r="D986" s="90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00"/>
      <c r="B987" s="12"/>
      <c r="C987" s="12"/>
      <c r="D987" s="90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00"/>
      <c r="B988" s="12"/>
      <c r="C988" s="12"/>
      <c r="D988" s="90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</sheetData>
  <mergeCells count="2">
    <mergeCell ref="A1:E1"/>
    <mergeCell ref="A2:E2"/>
  </mergeCells>
  <hyperlinks>
    <hyperlink r:id="rId1" ref="C4"/>
    <hyperlink r:id="rId2" ref="C5"/>
    <hyperlink r:id="rId3" ref="A6"/>
    <hyperlink r:id="rId4" ref="B6"/>
    <hyperlink r:id="rId5" ref="C6"/>
    <hyperlink r:id="rId6" ref="A7"/>
    <hyperlink r:id="rId7" ref="B7"/>
    <hyperlink r:id="rId8" ref="A8"/>
    <hyperlink r:id="rId9" ref="B8"/>
    <hyperlink r:id="rId10" ref="A9"/>
    <hyperlink r:id="rId11" ref="B9"/>
    <hyperlink r:id="rId12" ref="A10"/>
    <hyperlink r:id="rId13" ref="C10"/>
    <hyperlink r:id="rId14" ref="A11"/>
    <hyperlink r:id="rId15" ref="C11"/>
  </hyperlinks>
  <printOptions/>
  <pageMargins bottom="0.75" footer="0.0" header="0.0" left="0.7" right="0.7" top="0.75"/>
  <pageSetup orientation="landscape"/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0.0"/>
    <col customWidth="1" min="2" max="2" width="45.89"/>
    <col customWidth="1" min="3" max="3" width="88.0"/>
    <col customWidth="1" min="4" max="4" width="15.89"/>
    <col customWidth="1" min="5" max="5" width="15.67"/>
    <col customWidth="1" min="6" max="25" width="6.78"/>
  </cols>
  <sheetData>
    <row r="1">
      <c r="A1" s="1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3"/>
      <c r="X1" s="133"/>
      <c r="Y1" s="133"/>
    </row>
    <row r="2">
      <c r="A2" s="11" t="s">
        <v>4</v>
      </c>
      <c r="B2" s="11" t="s">
        <v>5</v>
      </c>
      <c r="C2" s="13" t="s">
        <v>7</v>
      </c>
      <c r="D2" s="13" t="s">
        <v>8</v>
      </c>
      <c r="E2" s="13" t="s">
        <v>9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3"/>
      <c r="X2" s="133"/>
      <c r="Y2" s="133"/>
    </row>
    <row r="3" ht="199.5" customHeight="1">
      <c r="A3" s="16" t="s">
        <v>135</v>
      </c>
      <c r="B3" s="134" t="s">
        <v>136</v>
      </c>
      <c r="C3" s="135" t="s">
        <v>137</v>
      </c>
      <c r="D3" s="136" t="s">
        <v>138</v>
      </c>
      <c r="E3" s="137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ht="133.5" customHeight="1">
      <c r="A4" s="16" t="s">
        <v>139</v>
      </c>
      <c r="B4" s="138" t="s">
        <v>140</v>
      </c>
      <c r="C4" s="139" t="s">
        <v>141</v>
      </c>
      <c r="D4" s="136" t="s">
        <v>138</v>
      </c>
      <c r="E4" s="140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</row>
    <row r="5" ht="172.5" customHeight="1">
      <c r="A5" s="16" t="s">
        <v>142</v>
      </c>
      <c r="B5" s="141" t="s">
        <v>143</v>
      </c>
      <c r="C5" s="142"/>
      <c r="D5" s="136" t="s">
        <v>138</v>
      </c>
      <c r="E5" s="143" t="s">
        <v>144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</row>
    <row r="6" ht="107.25" customHeight="1">
      <c r="A6" s="16" t="s">
        <v>145</v>
      </c>
      <c r="B6" s="144" t="s">
        <v>146</v>
      </c>
      <c r="C6" s="145" t="s">
        <v>147</v>
      </c>
      <c r="D6" s="146" t="s">
        <v>83</v>
      </c>
      <c r="E6" s="147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</row>
    <row r="7">
      <c r="A7" s="148"/>
      <c r="B7" s="133"/>
      <c r="C7" s="149"/>
      <c r="D7" s="150"/>
      <c r="E7" s="151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</row>
    <row r="8">
      <c r="A8" s="148"/>
      <c r="B8" s="133"/>
      <c r="C8" s="149"/>
      <c r="D8" s="150"/>
      <c r="E8" s="151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</row>
    <row r="9">
      <c r="A9" s="148"/>
      <c r="B9" s="133"/>
      <c r="C9" s="149"/>
      <c r="D9" s="150"/>
      <c r="E9" s="151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</row>
    <row r="10">
      <c r="A10" s="148"/>
      <c r="B10" s="133"/>
      <c r="C10" s="149"/>
      <c r="D10" s="150"/>
      <c r="E10" s="151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</row>
    <row r="11">
      <c r="A11" s="148"/>
      <c r="B11" s="133"/>
      <c r="C11" s="149"/>
      <c r="D11" s="150"/>
      <c r="E11" s="151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</row>
    <row r="12">
      <c r="A12" s="148"/>
      <c r="B12" s="133"/>
      <c r="C12" s="149"/>
      <c r="D12" s="150"/>
      <c r="E12" s="151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52"/>
      <c r="Q12" s="133"/>
      <c r="R12" s="133"/>
      <c r="S12" s="133"/>
      <c r="T12" s="133"/>
      <c r="U12" s="133"/>
      <c r="V12" s="133"/>
      <c r="W12" s="133"/>
      <c r="X12" s="133"/>
      <c r="Y12" s="133"/>
    </row>
    <row r="13">
      <c r="A13" s="148"/>
      <c r="B13" s="133"/>
      <c r="C13" s="149"/>
      <c r="D13" s="150"/>
      <c r="E13" s="151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</row>
    <row r="14">
      <c r="A14" s="148"/>
      <c r="B14" s="133"/>
      <c r="C14" s="149"/>
      <c r="D14" s="150"/>
      <c r="E14" s="151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</row>
    <row r="15">
      <c r="A15" s="148"/>
      <c r="B15" s="133"/>
      <c r="C15" s="149"/>
      <c r="D15" s="150"/>
      <c r="E15" s="151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</row>
    <row r="16">
      <c r="A16" s="148"/>
      <c r="B16" s="133"/>
      <c r="C16" s="149"/>
      <c r="D16" s="150"/>
      <c r="E16" s="151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</row>
    <row r="17">
      <c r="A17" s="148"/>
      <c r="B17" s="133"/>
      <c r="C17" s="149"/>
      <c r="D17" s="150"/>
      <c r="E17" s="151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</row>
    <row r="18">
      <c r="A18" s="148"/>
      <c r="B18" s="133"/>
      <c r="C18" s="149"/>
      <c r="D18" s="150"/>
      <c r="E18" s="151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</row>
    <row r="19">
      <c r="A19" s="148"/>
      <c r="B19" s="133"/>
      <c r="C19" s="149"/>
      <c r="D19" s="150"/>
      <c r="E19" s="151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</row>
    <row r="20">
      <c r="A20" s="148"/>
      <c r="B20" s="133"/>
      <c r="C20" s="149"/>
      <c r="D20" s="150"/>
      <c r="E20" s="151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</row>
    <row r="21">
      <c r="A21" s="148"/>
      <c r="B21" s="133"/>
      <c r="C21" s="149"/>
      <c r="D21" s="150"/>
      <c r="E21" s="151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</row>
    <row r="22">
      <c r="A22" s="148"/>
      <c r="B22" s="133"/>
      <c r="C22" s="149"/>
      <c r="D22" s="150"/>
      <c r="E22" s="151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</row>
    <row r="23">
      <c r="A23" s="148"/>
      <c r="B23" s="133"/>
      <c r="C23" s="149"/>
      <c r="D23" s="150"/>
      <c r="E23" s="151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</row>
    <row r="24">
      <c r="A24" s="148"/>
      <c r="B24" s="133"/>
      <c r="C24" s="149"/>
      <c r="D24" s="150"/>
      <c r="E24" s="151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</row>
    <row r="25">
      <c r="A25" s="148"/>
      <c r="B25" s="133"/>
      <c r="C25" s="149"/>
      <c r="D25" s="150"/>
      <c r="E25" s="151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</row>
    <row r="26">
      <c r="A26" s="148"/>
      <c r="B26" s="133"/>
      <c r="C26" s="149"/>
      <c r="D26" s="150"/>
      <c r="E26" s="151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</row>
    <row r="27">
      <c r="A27" s="148"/>
      <c r="B27" s="133"/>
      <c r="C27" s="149"/>
      <c r="D27" s="150"/>
      <c r="E27" s="151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</row>
    <row r="28">
      <c r="A28" s="148"/>
      <c r="B28" s="133"/>
      <c r="C28" s="149"/>
      <c r="D28" s="150"/>
      <c r="E28" s="151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</row>
    <row r="29">
      <c r="A29" s="148"/>
      <c r="B29" s="133"/>
      <c r="C29" s="149"/>
      <c r="D29" s="150"/>
      <c r="E29" s="151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</row>
    <row r="30">
      <c r="A30" s="148"/>
      <c r="B30" s="133"/>
      <c r="C30" s="149"/>
      <c r="D30" s="150"/>
      <c r="E30" s="151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</row>
    <row r="31">
      <c r="A31" s="148"/>
      <c r="B31" s="133"/>
      <c r="C31" s="149"/>
      <c r="D31" s="150"/>
      <c r="E31" s="151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</row>
    <row r="32">
      <c r="A32" s="148"/>
      <c r="B32" s="133"/>
      <c r="C32" s="149"/>
      <c r="D32" s="150"/>
      <c r="E32" s="151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</row>
    <row r="33">
      <c r="A33" s="148"/>
      <c r="B33" s="133"/>
      <c r="C33" s="149"/>
      <c r="D33" s="150"/>
      <c r="E33" s="151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</row>
    <row r="34">
      <c r="A34" s="148"/>
      <c r="B34" s="133"/>
      <c r="C34" s="149"/>
      <c r="D34" s="150"/>
      <c r="E34" s="151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</row>
    <row r="35">
      <c r="A35" s="148"/>
      <c r="B35" s="133"/>
      <c r="C35" s="149"/>
      <c r="D35" s="150"/>
      <c r="E35" s="151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</row>
    <row r="36">
      <c r="A36" s="148"/>
      <c r="B36" s="133"/>
      <c r="C36" s="149"/>
      <c r="D36" s="150"/>
      <c r="E36" s="151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</row>
    <row r="37">
      <c r="A37" s="148"/>
      <c r="B37" s="133"/>
      <c r="C37" s="149"/>
      <c r="D37" s="150"/>
      <c r="E37" s="151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</row>
    <row r="38">
      <c r="A38" s="148"/>
      <c r="B38" s="133"/>
      <c r="C38" s="149"/>
      <c r="D38" s="150"/>
      <c r="E38" s="151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</row>
    <row r="39">
      <c r="A39" s="148"/>
      <c r="B39" s="133"/>
      <c r="C39" s="149"/>
      <c r="D39" s="150"/>
      <c r="E39" s="151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</row>
    <row r="40">
      <c r="A40" s="148"/>
      <c r="B40" s="133"/>
      <c r="C40" s="149"/>
      <c r="D40" s="150"/>
      <c r="E40" s="151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</row>
    <row r="41">
      <c r="A41" s="148"/>
      <c r="B41" s="133"/>
      <c r="C41" s="149"/>
      <c r="D41" s="150"/>
      <c r="E41" s="151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</row>
    <row r="42">
      <c r="A42" s="148"/>
      <c r="B42" s="133"/>
      <c r="C42" s="149"/>
      <c r="D42" s="150"/>
      <c r="E42" s="151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</row>
    <row r="43">
      <c r="A43" s="148"/>
      <c r="B43" s="133"/>
      <c r="C43" s="149"/>
      <c r="D43" s="150"/>
      <c r="E43" s="151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</row>
    <row r="44">
      <c r="A44" s="148"/>
      <c r="B44" s="133"/>
      <c r="C44" s="149"/>
      <c r="D44" s="150"/>
      <c r="E44" s="151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</row>
    <row r="45">
      <c r="A45" s="148"/>
      <c r="B45" s="133"/>
      <c r="C45" s="149"/>
      <c r="D45" s="150"/>
      <c r="E45" s="151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</row>
    <row r="46">
      <c r="A46" s="148"/>
      <c r="B46" s="133"/>
      <c r="C46" s="149"/>
      <c r="D46" s="150"/>
      <c r="E46" s="151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</row>
    <row r="47">
      <c r="A47" s="148"/>
      <c r="B47" s="133"/>
      <c r="C47" s="149"/>
      <c r="D47" s="150"/>
      <c r="E47" s="151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</row>
    <row r="48">
      <c r="A48" s="148"/>
      <c r="B48" s="133"/>
      <c r="C48" s="149"/>
      <c r="D48" s="150"/>
      <c r="E48" s="151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</row>
    <row r="49">
      <c r="A49" s="148"/>
      <c r="B49" s="133"/>
      <c r="C49" s="149"/>
      <c r="D49" s="150"/>
      <c r="E49" s="151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</row>
    <row r="50">
      <c r="A50" s="148"/>
      <c r="B50" s="133"/>
      <c r="C50" s="149"/>
      <c r="D50" s="150"/>
      <c r="E50" s="151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</row>
    <row r="51">
      <c r="A51" s="148"/>
      <c r="B51" s="133"/>
      <c r="C51" s="149"/>
      <c r="D51" s="150"/>
      <c r="E51" s="151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</row>
    <row r="52">
      <c r="A52" s="148"/>
      <c r="B52" s="133"/>
      <c r="C52" s="149"/>
      <c r="D52" s="150"/>
      <c r="E52" s="151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</row>
    <row r="53">
      <c r="A53" s="148"/>
      <c r="B53" s="133"/>
      <c r="C53" s="149"/>
      <c r="D53" s="150"/>
      <c r="E53" s="151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</row>
    <row r="54">
      <c r="A54" s="148"/>
      <c r="B54" s="133"/>
      <c r="C54" s="149"/>
      <c r="D54" s="150"/>
      <c r="E54" s="151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</row>
    <row r="55">
      <c r="A55" s="148"/>
      <c r="B55" s="133"/>
      <c r="C55" s="149"/>
      <c r="D55" s="150"/>
      <c r="E55" s="151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</row>
    <row r="56">
      <c r="A56" s="148"/>
      <c r="B56" s="133"/>
      <c r="C56" s="149"/>
      <c r="D56" s="150"/>
      <c r="E56" s="151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</row>
    <row r="57">
      <c r="A57" s="148"/>
      <c r="B57" s="133"/>
      <c r="C57" s="149"/>
      <c r="D57" s="150"/>
      <c r="E57" s="151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</row>
    <row r="58">
      <c r="A58" s="148"/>
      <c r="B58" s="133"/>
      <c r="C58" s="149"/>
      <c r="D58" s="150"/>
      <c r="E58" s="151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</row>
    <row r="59">
      <c r="A59" s="148"/>
      <c r="B59" s="133"/>
      <c r="C59" s="149"/>
      <c r="D59" s="150"/>
      <c r="E59" s="151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</row>
    <row r="60">
      <c r="A60" s="148"/>
      <c r="B60" s="133"/>
      <c r="C60" s="149"/>
      <c r="D60" s="150"/>
      <c r="E60" s="151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</row>
    <row r="61">
      <c r="A61" s="148"/>
      <c r="B61" s="133"/>
      <c r="C61" s="149"/>
      <c r="D61" s="150"/>
      <c r="E61" s="151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</row>
    <row r="62">
      <c r="A62" s="148"/>
      <c r="B62" s="133"/>
      <c r="C62" s="149"/>
      <c r="D62" s="150"/>
      <c r="E62" s="151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</row>
    <row r="63">
      <c r="A63" s="148"/>
      <c r="B63" s="133"/>
      <c r="C63" s="149"/>
      <c r="D63" s="150"/>
      <c r="E63" s="151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</row>
    <row r="64">
      <c r="A64" s="148"/>
      <c r="B64" s="133"/>
      <c r="C64" s="149"/>
      <c r="D64" s="150"/>
      <c r="E64" s="151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</row>
    <row r="65">
      <c r="A65" s="148"/>
      <c r="B65" s="133"/>
      <c r="C65" s="149"/>
      <c r="D65" s="150"/>
      <c r="E65" s="151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</row>
    <row r="66">
      <c r="A66" s="148"/>
      <c r="B66" s="133"/>
      <c r="C66" s="149"/>
      <c r="D66" s="150"/>
      <c r="E66" s="151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</row>
    <row r="67">
      <c r="A67" s="148"/>
      <c r="B67" s="133"/>
      <c r="C67" s="149"/>
      <c r="D67" s="150"/>
      <c r="E67" s="151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</row>
    <row r="68">
      <c r="A68" s="148"/>
      <c r="B68" s="133"/>
      <c r="C68" s="149"/>
      <c r="D68" s="150"/>
      <c r="E68" s="151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</row>
    <row r="69">
      <c r="A69" s="148"/>
      <c r="B69" s="133"/>
      <c r="C69" s="149"/>
      <c r="D69" s="150"/>
      <c r="E69" s="151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</row>
    <row r="70">
      <c r="A70" s="148"/>
      <c r="B70" s="133"/>
      <c r="C70" s="149"/>
      <c r="D70" s="150"/>
      <c r="E70" s="151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</row>
    <row r="71">
      <c r="A71" s="148"/>
      <c r="B71" s="133"/>
      <c r="C71" s="149"/>
      <c r="D71" s="150"/>
      <c r="E71" s="151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</row>
    <row r="72">
      <c r="A72" s="148"/>
      <c r="B72" s="133"/>
      <c r="C72" s="149"/>
      <c r="D72" s="150"/>
      <c r="E72" s="151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</row>
    <row r="73">
      <c r="A73" s="148"/>
      <c r="B73" s="133"/>
      <c r="C73" s="149"/>
      <c r="D73" s="150"/>
      <c r="E73" s="151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</row>
    <row r="74">
      <c r="A74" s="148"/>
      <c r="B74" s="133"/>
      <c r="C74" s="149"/>
      <c r="D74" s="150"/>
      <c r="E74" s="151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</row>
    <row r="75">
      <c r="A75" s="148"/>
      <c r="B75" s="133"/>
      <c r="C75" s="149"/>
      <c r="D75" s="150"/>
      <c r="E75" s="151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</row>
    <row r="76">
      <c r="A76" s="148"/>
      <c r="B76" s="133"/>
      <c r="C76" s="149"/>
      <c r="D76" s="150"/>
      <c r="E76" s="151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</row>
    <row r="77">
      <c r="A77" s="148"/>
      <c r="B77" s="133"/>
      <c r="C77" s="149"/>
      <c r="D77" s="150"/>
      <c r="E77" s="151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</row>
    <row r="78">
      <c r="A78" s="148"/>
      <c r="B78" s="133"/>
      <c r="C78" s="149"/>
      <c r="D78" s="150"/>
      <c r="E78" s="151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</row>
    <row r="79">
      <c r="A79" s="148"/>
      <c r="B79" s="133"/>
      <c r="C79" s="149"/>
      <c r="D79" s="150"/>
      <c r="E79" s="151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</row>
    <row r="80">
      <c r="A80" s="148"/>
      <c r="B80" s="133"/>
      <c r="C80" s="149"/>
      <c r="D80" s="150"/>
      <c r="E80" s="151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</row>
    <row r="81">
      <c r="A81" s="148"/>
      <c r="B81" s="133"/>
      <c r="C81" s="149"/>
      <c r="D81" s="150"/>
      <c r="E81" s="151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</row>
    <row r="82">
      <c r="A82" s="148"/>
      <c r="B82" s="133"/>
      <c r="C82" s="149"/>
      <c r="D82" s="150"/>
      <c r="E82" s="151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</row>
    <row r="83">
      <c r="A83" s="148"/>
      <c r="B83" s="133"/>
      <c r="C83" s="149"/>
      <c r="D83" s="150"/>
      <c r="E83" s="151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</row>
    <row r="84">
      <c r="A84" s="148"/>
      <c r="B84" s="133"/>
      <c r="C84" s="149"/>
      <c r="D84" s="150"/>
      <c r="E84" s="151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</row>
    <row r="85">
      <c r="A85" s="148"/>
      <c r="B85" s="133"/>
      <c r="C85" s="149"/>
      <c r="D85" s="150"/>
      <c r="E85" s="151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</row>
    <row r="86">
      <c r="A86" s="148"/>
      <c r="B86" s="133"/>
      <c r="C86" s="149"/>
      <c r="D86" s="150"/>
      <c r="E86" s="151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</row>
    <row r="87">
      <c r="A87" s="148"/>
      <c r="B87" s="133"/>
      <c r="C87" s="149"/>
      <c r="D87" s="150"/>
      <c r="E87" s="151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</row>
    <row r="88">
      <c r="A88" s="148"/>
      <c r="B88" s="133"/>
      <c r="C88" s="149"/>
      <c r="D88" s="150"/>
      <c r="E88" s="151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</row>
    <row r="89">
      <c r="A89" s="148"/>
      <c r="B89" s="133"/>
      <c r="C89" s="149"/>
      <c r="D89" s="150"/>
      <c r="E89" s="151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</row>
    <row r="90">
      <c r="A90" s="148"/>
      <c r="B90" s="133"/>
      <c r="C90" s="149"/>
      <c r="D90" s="150"/>
      <c r="E90" s="151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</row>
    <row r="91">
      <c r="A91" s="148"/>
      <c r="B91" s="133"/>
      <c r="C91" s="149"/>
      <c r="D91" s="150"/>
      <c r="E91" s="151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</row>
    <row r="92">
      <c r="A92" s="148"/>
      <c r="B92" s="133"/>
      <c r="C92" s="149"/>
      <c r="D92" s="150"/>
      <c r="E92" s="151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</row>
    <row r="93">
      <c r="A93" s="148"/>
      <c r="B93" s="133"/>
      <c r="C93" s="149"/>
      <c r="D93" s="150"/>
      <c r="E93" s="151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</row>
    <row r="94">
      <c r="A94" s="148"/>
      <c r="B94" s="133"/>
      <c r="C94" s="149"/>
      <c r="D94" s="150"/>
      <c r="E94" s="151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</row>
    <row r="95">
      <c r="A95" s="148"/>
      <c r="B95" s="133"/>
      <c r="C95" s="149"/>
      <c r="D95" s="150"/>
      <c r="E95" s="151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</row>
    <row r="96">
      <c r="A96" s="148"/>
      <c r="B96" s="133"/>
      <c r="C96" s="149"/>
      <c r="D96" s="150"/>
      <c r="E96" s="151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</row>
    <row r="97">
      <c r="A97" s="148"/>
      <c r="B97" s="133"/>
      <c r="C97" s="149"/>
      <c r="D97" s="150"/>
      <c r="E97" s="151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</row>
    <row r="98">
      <c r="A98" s="148"/>
      <c r="B98" s="133"/>
      <c r="C98" s="149"/>
      <c r="D98" s="150"/>
      <c r="E98" s="151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</row>
    <row r="99">
      <c r="A99" s="148"/>
      <c r="B99" s="133"/>
      <c r="C99" s="149"/>
      <c r="D99" s="150"/>
      <c r="E99" s="151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</row>
    <row r="100">
      <c r="A100" s="148"/>
      <c r="B100" s="133"/>
      <c r="C100" s="149"/>
      <c r="D100" s="150"/>
      <c r="E100" s="151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</row>
    <row r="101">
      <c r="A101" s="148"/>
      <c r="B101" s="133"/>
      <c r="C101" s="149"/>
      <c r="D101" s="150"/>
      <c r="E101" s="151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</row>
    <row r="102">
      <c r="A102" s="148"/>
      <c r="B102" s="133"/>
      <c r="C102" s="149"/>
      <c r="D102" s="150"/>
      <c r="E102" s="151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</row>
    <row r="103">
      <c r="A103" s="148"/>
      <c r="B103" s="133"/>
      <c r="C103" s="149"/>
      <c r="D103" s="150"/>
      <c r="E103" s="151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</row>
    <row r="104">
      <c r="A104" s="148"/>
      <c r="B104" s="133"/>
      <c r="C104" s="149"/>
      <c r="D104" s="150"/>
      <c r="E104" s="151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</row>
    <row r="105">
      <c r="A105" s="148"/>
      <c r="B105" s="133"/>
      <c r="C105" s="149"/>
      <c r="D105" s="150"/>
      <c r="E105" s="151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</row>
    <row r="106">
      <c r="A106" s="148"/>
      <c r="B106" s="133"/>
      <c r="C106" s="149"/>
      <c r="D106" s="150"/>
      <c r="E106" s="151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</row>
    <row r="107">
      <c r="A107" s="148"/>
      <c r="B107" s="133"/>
      <c r="C107" s="149"/>
      <c r="D107" s="150"/>
      <c r="E107" s="151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</row>
    <row r="108">
      <c r="A108" s="148"/>
      <c r="B108" s="133"/>
      <c r="C108" s="149"/>
      <c r="D108" s="150"/>
      <c r="E108" s="151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</row>
    <row r="109">
      <c r="A109" s="148"/>
      <c r="B109" s="133"/>
      <c r="C109" s="149"/>
      <c r="D109" s="150"/>
      <c r="E109" s="151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</row>
    <row r="110">
      <c r="A110" s="148"/>
      <c r="B110" s="133"/>
      <c r="C110" s="149"/>
      <c r="D110" s="150"/>
      <c r="E110" s="151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</row>
    <row r="111">
      <c r="A111" s="148"/>
      <c r="B111" s="133"/>
      <c r="C111" s="149"/>
      <c r="D111" s="150"/>
      <c r="E111" s="151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</row>
    <row r="112">
      <c r="A112" s="148"/>
      <c r="B112" s="133"/>
      <c r="C112" s="149"/>
      <c r="D112" s="150"/>
      <c r="E112" s="151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</row>
    <row r="113">
      <c r="A113" s="148"/>
      <c r="B113" s="133"/>
      <c r="C113" s="149"/>
      <c r="D113" s="150"/>
      <c r="E113" s="151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</row>
    <row r="114">
      <c r="A114" s="148"/>
      <c r="B114" s="133"/>
      <c r="C114" s="149"/>
      <c r="D114" s="150"/>
      <c r="E114" s="151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</row>
    <row r="115">
      <c r="A115" s="148"/>
      <c r="B115" s="133"/>
      <c r="C115" s="149"/>
      <c r="D115" s="150"/>
      <c r="E115" s="151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</row>
    <row r="116">
      <c r="A116" s="148"/>
      <c r="B116" s="133"/>
      <c r="C116" s="149"/>
      <c r="D116" s="150"/>
      <c r="E116" s="151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</row>
    <row r="117">
      <c r="A117" s="148"/>
      <c r="B117" s="133"/>
      <c r="C117" s="149"/>
      <c r="D117" s="150"/>
      <c r="E117" s="151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</row>
    <row r="118">
      <c r="A118" s="148"/>
      <c r="B118" s="133"/>
      <c r="C118" s="149"/>
      <c r="D118" s="150"/>
      <c r="E118" s="151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</row>
    <row r="119">
      <c r="A119" s="148"/>
      <c r="B119" s="133"/>
      <c r="C119" s="149"/>
      <c r="D119" s="150"/>
      <c r="E119" s="151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</row>
    <row r="120">
      <c r="A120" s="148"/>
      <c r="B120" s="133"/>
      <c r="C120" s="149"/>
      <c r="D120" s="150"/>
      <c r="E120" s="151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</row>
    <row r="121">
      <c r="A121" s="148"/>
      <c r="B121" s="133"/>
      <c r="C121" s="149"/>
      <c r="D121" s="150"/>
      <c r="E121" s="151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</row>
    <row r="122">
      <c r="A122" s="148"/>
      <c r="B122" s="133"/>
      <c r="C122" s="149"/>
      <c r="D122" s="150"/>
      <c r="E122" s="151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</row>
    <row r="123">
      <c r="A123" s="148"/>
      <c r="B123" s="133"/>
      <c r="C123" s="149"/>
      <c r="D123" s="150"/>
      <c r="E123" s="151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</row>
    <row r="124">
      <c r="A124" s="148"/>
      <c r="B124" s="133"/>
      <c r="C124" s="149"/>
      <c r="D124" s="150"/>
      <c r="E124" s="151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</row>
    <row r="125">
      <c r="A125" s="148"/>
      <c r="B125" s="133"/>
      <c r="C125" s="149"/>
      <c r="D125" s="150"/>
      <c r="E125" s="151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</row>
    <row r="126">
      <c r="A126" s="148"/>
      <c r="B126" s="133"/>
      <c r="C126" s="149"/>
      <c r="D126" s="150"/>
      <c r="E126" s="151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</row>
    <row r="127">
      <c r="A127" s="148"/>
      <c r="B127" s="133"/>
      <c r="C127" s="149"/>
      <c r="D127" s="150"/>
      <c r="E127" s="151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</row>
    <row r="128">
      <c r="A128" s="148"/>
      <c r="B128" s="133"/>
      <c r="C128" s="149"/>
      <c r="D128" s="150"/>
      <c r="E128" s="151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</row>
    <row r="129">
      <c r="A129" s="148"/>
      <c r="B129" s="133"/>
      <c r="C129" s="149"/>
      <c r="D129" s="150"/>
      <c r="E129" s="151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</row>
    <row r="130">
      <c r="A130" s="148"/>
      <c r="B130" s="133"/>
      <c r="C130" s="149"/>
      <c r="D130" s="150"/>
      <c r="E130" s="151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</row>
    <row r="131">
      <c r="A131" s="148"/>
      <c r="B131" s="133"/>
      <c r="C131" s="149"/>
      <c r="D131" s="150"/>
      <c r="E131" s="151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</row>
    <row r="132">
      <c r="A132" s="148"/>
      <c r="B132" s="133"/>
      <c r="C132" s="149"/>
      <c r="D132" s="150"/>
      <c r="E132" s="151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</row>
    <row r="133">
      <c r="A133" s="148"/>
      <c r="B133" s="133"/>
      <c r="C133" s="149"/>
      <c r="D133" s="150"/>
      <c r="E133" s="151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</row>
    <row r="134">
      <c r="A134" s="148"/>
      <c r="B134" s="133"/>
      <c r="C134" s="149"/>
      <c r="D134" s="150"/>
      <c r="E134" s="151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</row>
    <row r="135">
      <c r="A135" s="148"/>
      <c r="B135" s="133"/>
      <c r="C135" s="149"/>
      <c r="D135" s="150"/>
      <c r="E135" s="151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</row>
    <row r="136">
      <c r="A136" s="148"/>
      <c r="B136" s="133"/>
      <c r="C136" s="149"/>
      <c r="D136" s="150"/>
      <c r="E136" s="151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</row>
    <row r="137">
      <c r="A137" s="148"/>
      <c r="B137" s="133"/>
      <c r="C137" s="149"/>
      <c r="D137" s="150"/>
      <c r="E137" s="151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</row>
    <row r="138">
      <c r="A138" s="148"/>
      <c r="B138" s="133"/>
      <c r="C138" s="149"/>
      <c r="D138" s="150"/>
      <c r="E138" s="151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</row>
    <row r="139">
      <c r="A139" s="148"/>
      <c r="B139" s="133"/>
      <c r="C139" s="149"/>
      <c r="D139" s="150"/>
      <c r="E139" s="151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</row>
    <row r="140">
      <c r="A140" s="148"/>
      <c r="B140" s="133"/>
      <c r="C140" s="149"/>
      <c r="D140" s="150"/>
      <c r="E140" s="151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</row>
    <row r="141">
      <c r="A141" s="148"/>
      <c r="B141" s="133"/>
      <c r="C141" s="149"/>
      <c r="D141" s="150"/>
      <c r="E141" s="151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</row>
    <row r="142">
      <c r="A142" s="148"/>
      <c r="B142" s="133"/>
      <c r="C142" s="149"/>
      <c r="D142" s="150"/>
      <c r="E142" s="151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</row>
    <row r="143">
      <c r="A143" s="148"/>
      <c r="B143" s="133"/>
      <c r="C143" s="149"/>
      <c r="D143" s="150"/>
      <c r="E143" s="151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</row>
    <row r="144">
      <c r="A144" s="148"/>
      <c r="B144" s="133"/>
      <c r="C144" s="149"/>
      <c r="D144" s="150"/>
      <c r="E144" s="151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</row>
    <row r="145">
      <c r="A145" s="148"/>
      <c r="B145" s="133"/>
      <c r="C145" s="149"/>
      <c r="D145" s="150"/>
      <c r="E145" s="151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</row>
    <row r="146">
      <c r="A146" s="148"/>
      <c r="B146" s="133"/>
      <c r="C146" s="149"/>
      <c r="D146" s="150"/>
      <c r="E146" s="151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</row>
    <row r="147">
      <c r="A147" s="148"/>
      <c r="B147" s="133"/>
      <c r="C147" s="149"/>
      <c r="D147" s="150"/>
      <c r="E147" s="151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</row>
    <row r="148">
      <c r="A148" s="148"/>
      <c r="B148" s="133"/>
      <c r="C148" s="149"/>
      <c r="D148" s="150"/>
      <c r="E148" s="151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</row>
    <row r="149">
      <c r="A149" s="148"/>
      <c r="B149" s="133"/>
      <c r="C149" s="149"/>
      <c r="D149" s="150"/>
      <c r="E149" s="151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</row>
    <row r="150">
      <c r="A150" s="148"/>
      <c r="B150" s="133"/>
      <c r="C150" s="149"/>
      <c r="D150" s="150"/>
      <c r="E150" s="151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</row>
    <row r="151">
      <c r="A151" s="148"/>
      <c r="B151" s="133"/>
      <c r="C151" s="149"/>
      <c r="D151" s="150"/>
      <c r="E151" s="151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</row>
    <row r="152">
      <c r="A152" s="148"/>
      <c r="B152" s="133"/>
      <c r="C152" s="149"/>
      <c r="D152" s="150"/>
      <c r="E152" s="151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</row>
    <row r="153">
      <c r="A153" s="148"/>
      <c r="B153" s="133"/>
      <c r="C153" s="149"/>
      <c r="D153" s="150"/>
      <c r="E153" s="151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</row>
    <row r="154">
      <c r="A154" s="148"/>
      <c r="B154" s="133"/>
      <c r="C154" s="149"/>
      <c r="D154" s="150"/>
      <c r="E154" s="151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</row>
    <row r="155">
      <c r="A155" s="148"/>
      <c r="B155" s="133"/>
      <c r="C155" s="149"/>
      <c r="D155" s="150"/>
      <c r="E155" s="151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</row>
    <row r="156">
      <c r="A156" s="148"/>
      <c r="B156" s="133"/>
      <c r="C156" s="149"/>
      <c r="D156" s="150"/>
      <c r="E156" s="151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</row>
    <row r="157">
      <c r="A157" s="148"/>
      <c r="B157" s="133"/>
      <c r="C157" s="149"/>
      <c r="D157" s="150"/>
      <c r="E157" s="151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</row>
    <row r="158">
      <c r="A158" s="148"/>
      <c r="B158" s="133"/>
      <c r="C158" s="149"/>
      <c r="D158" s="150"/>
      <c r="E158" s="151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</row>
    <row r="159">
      <c r="A159" s="148"/>
      <c r="B159" s="133"/>
      <c r="C159" s="149"/>
      <c r="D159" s="150"/>
      <c r="E159" s="151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</row>
    <row r="160">
      <c r="A160" s="148"/>
      <c r="B160" s="133"/>
      <c r="C160" s="149"/>
      <c r="D160" s="150"/>
      <c r="E160" s="151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</row>
    <row r="161">
      <c r="A161" s="148"/>
      <c r="B161" s="133"/>
      <c r="C161" s="149"/>
      <c r="D161" s="150"/>
      <c r="E161" s="151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</row>
    <row r="162">
      <c r="A162" s="148"/>
      <c r="B162" s="133"/>
      <c r="C162" s="149"/>
      <c r="D162" s="150"/>
      <c r="E162" s="151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</row>
    <row r="163">
      <c r="A163" s="148"/>
      <c r="B163" s="133"/>
      <c r="C163" s="149"/>
      <c r="D163" s="150"/>
      <c r="E163" s="151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</row>
    <row r="164">
      <c r="A164" s="148"/>
      <c r="B164" s="133"/>
      <c r="C164" s="149"/>
      <c r="D164" s="150"/>
      <c r="E164" s="151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</row>
    <row r="165">
      <c r="A165" s="148"/>
      <c r="B165" s="133"/>
      <c r="C165" s="149"/>
      <c r="D165" s="150"/>
      <c r="E165" s="151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</row>
    <row r="166">
      <c r="A166" s="148"/>
      <c r="B166" s="133"/>
      <c r="C166" s="149"/>
      <c r="D166" s="150"/>
      <c r="E166" s="151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</row>
    <row r="167">
      <c r="A167" s="148"/>
      <c r="B167" s="133"/>
      <c r="C167" s="149"/>
      <c r="D167" s="150"/>
      <c r="E167" s="151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</row>
    <row r="168">
      <c r="A168" s="148"/>
      <c r="B168" s="133"/>
      <c r="C168" s="149"/>
      <c r="D168" s="150"/>
      <c r="E168" s="151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</row>
    <row r="169">
      <c r="A169" s="148"/>
      <c r="B169" s="133"/>
      <c r="C169" s="149"/>
      <c r="D169" s="150"/>
      <c r="E169" s="151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</row>
    <row r="170">
      <c r="A170" s="148"/>
      <c r="B170" s="133"/>
      <c r="C170" s="149"/>
      <c r="D170" s="150"/>
      <c r="E170" s="151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</row>
    <row r="171">
      <c r="A171" s="148"/>
      <c r="B171" s="133"/>
      <c r="C171" s="149"/>
      <c r="D171" s="150"/>
      <c r="E171" s="151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</row>
    <row r="172">
      <c r="A172" s="148"/>
      <c r="B172" s="133"/>
      <c r="C172" s="149"/>
      <c r="D172" s="150"/>
      <c r="E172" s="151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</row>
    <row r="173">
      <c r="A173" s="148"/>
      <c r="B173" s="133"/>
      <c r="C173" s="149"/>
      <c r="D173" s="150"/>
      <c r="E173" s="151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</row>
    <row r="174">
      <c r="A174" s="148"/>
      <c r="B174" s="133"/>
      <c r="C174" s="149"/>
      <c r="D174" s="150"/>
      <c r="E174" s="151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</row>
    <row r="175">
      <c r="A175" s="148"/>
      <c r="B175" s="133"/>
      <c r="C175" s="149"/>
      <c r="D175" s="150"/>
      <c r="E175" s="151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</row>
    <row r="176">
      <c r="A176" s="148"/>
      <c r="B176" s="133"/>
      <c r="C176" s="149"/>
      <c r="D176" s="150"/>
      <c r="E176" s="151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</row>
    <row r="177">
      <c r="A177" s="148"/>
      <c r="B177" s="133"/>
      <c r="C177" s="149"/>
      <c r="D177" s="150"/>
      <c r="E177" s="151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</row>
    <row r="178">
      <c r="A178" s="148"/>
      <c r="B178" s="133"/>
      <c r="C178" s="149"/>
      <c r="D178" s="150"/>
      <c r="E178" s="151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</row>
    <row r="179">
      <c r="A179" s="148"/>
      <c r="B179" s="133"/>
      <c r="C179" s="149"/>
      <c r="D179" s="150"/>
      <c r="E179" s="151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</row>
    <row r="180">
      <c r="A180" s="148"/>
      <c r="B180" s="133"/>
      <c r="C180" s="149"/>
      <c r="D180" s="150"/>
      <c r="E180" s="151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</row>
    <row r="181">
      <c r="A181" s="148"/>
      <c r="B181" s="133"/>
      <c r="C181" s="149"/>
      <c r="D181" s="150"/>
      <c r="E181" s="151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</row>
    <row r="182">
      <c r="A182" s="148"/>
      <c r="B182" s="133"/>
      <c r="C182" s="149"/>
      <c r="D182" s="150"/>
      <c r="E182" s="151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</row>
    <row r="183">
      <c r="A183" s="148"/>
      <c r="B183" s="133"/>
      <c r="C183" s="149"/>
      <c r="D183" s="150"/>
      <c r="E183" s="151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</row>
    <row r="184">
      <c r="A184" s="148"/>
      <c r="B184" s="133"/>
      <c r="C184" s="149"/>
      <c r="D184" s="150"/>
      <c r="E184" s="151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</row>
    <row r="185">
      <c r="A185" s="148"/>
      <c r="B185" s="133"/>
      <c r="C185" s="149"/>
      <c r="D185" s="150"/>
      <c r="E185" s="151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</row>
    <row r="186">
      <c r="A186" s="148"/>
      <c r="B186" s="133"/>
      <c r="C186" s="149"/>
      <c r="D186" s="150"/>
      <c r="E186" s="151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</row>
    <row r="187">
      <c r="A187" s="148"/>
      <c r="B187" s="133"/>
      <c r="C187" s="149"/>
      <c r="D187" s="150"/>
      <c r="E187" s="151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</row>
    <row r="188">
      <c r="A188" s="148"/>
      <c r="B188" s="133"/>
      <c r="C188" s="149"/>
      <c r="D188" s="150"/>
      <c r="E188" s="151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</row>
    <row r="189">
      <c r="A189" s="148"/>
      <c r="B189" s="133"/>
      <c r="C189" s="149"/>
      <c r="D189" s="150"/>
      <c r="E189" s="151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</row>
    <row r="190">
      <c r="A190" s="148"/>
      <c r="B190" s="133"/>
      <c r="C190" s="149"/>
      <c r="D190" s="150"/>
      <c r="E190" s="151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</row>
    <row r="191">
      <c r="A191" s="148"/>
      <c r="B191" s="133"/>
      <c r="C191" s="149"/>
      <c r="D191" s="150"/>
      <c r="E191" s="151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</row>
    <row r="192">
      <c r="A192" s="148"/>
      <c r="B192" s="133"/>
      <c r="C192" s="149"/>
      <c r="D192" s="150"/>
      <c r="E192" s="151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</row>
    <row r="193">
      <c r="A193" s="148"/>
      <c r="B193" s="133"/>
      <c r="C193" s="149"/>
      <c r="D193" s="150"/>
      <c r="E193" s="151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</row>
    <row r="194">
      <c r="A194" s="148"/>
      <c r="B194" s="133"/>
      <c r="C194" s="149"/>
      <c r="D194" s="150"/>
      <c r="E194" s="151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</row>
    <row r="195">
      <c r="A195" s="148"/>
      <c r="B195" s="133"/>
      <c r="C195" s="149"/>
      <c r="D195" s="150"/>
      <c r="E195" s="151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</row>
    <row r="196">
      <c r="A196" s="148"/>
      <c r="B196" s="133"/>
      <c r="C196" s="149"/>
      <c r="D196" s="150"/>
      <c r="E196" s="151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</row>
    <row r="197">
      <c r="A197" s="148"/>
      <c r="B197" s="133"/>
      <c r="C197" s="149"/>
      <c r="D197" s="150"/>
      <c r="E197" s="151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</row>
    <row r="198">
      <c r="A198" s="148"/>
      <c r="B198" s="133"/>
      <c r="C198" s="149"/>
      <c r="D198" s="150"/>
      <c r="E198" s="151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</row>
    <row r="199">
      <c r="A199" s="148"/>
      <c r="B199" s="133"/>
      <c r="C199" s="149"/>
      <c r="D199" s="150"/>
      <c r="E199" s="151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</row>
    <row r="200">
      <c r="A200" s="148"/>
      <c r="B200" s="133"/>
      <c r="C200" s="149"/>
      <c r="D200" s="150"/>
      <c r="E200" s="151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</row>
    <row r="201">
      <c r="A201" s="148"/>
      <c r="B201" s="133"/>
      <c r="C201" s="149"/>
      <c r="D201" s="150"/>
      <c r="E201" s="151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</row>
    <row r="202">
      <c r="A202" s="148"/>
      <c r="B202" s="133"/>
      <c r="C202" s="149"/>
      <c r="D202" s="150"/>
      <c r="E202" s="151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</row>
    <row r="203">
      <c r="A203" s="148"/>
      <c r="B203" s="133"/>
      <c r="C203" s="149"/>
      <c r="D203" s="150"/>
      <c r="E203" s="151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</row>
    <row r="204">
      <c r="A204" s="148"/>
      <c r="B204" s="133"/>
      <c r="C204" s="149"/>
      <c r="D204" s="150"/>
      <c r="E204" s="151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</row>
    <row r="205">
      <c r="A205" s="148"/>
      <c r="B205" s="133"/>
      <c r="C205" s="149"/>
      <c r="D205" s="150"/>
      <c r="E205" s="151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</row>
    <row r="206">
      <c r="A206" s="148"/>
      <c r="B206" s="133"/>
      <c r="C206" s="149"/>
      <c r="D206" s="150"/>
      <c r="E206" s="151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</row>
    <row r="207">
      <c r="A207" s="148"/>
      <c r="B207" s="133"/>
      <c r="C207" s="149"/>
      <c r="D207" s="150"/>
      <c r="E207" s="151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</row>
    <row r="208">
      <c r="A208" s="148"/>
      <c r="B208" s="133"/>
      <c r="C208" s="149"/>
      <c r="D208" s="150"/>
      <c r="E208" s="151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</row>
    <row r="209">
      <c r="A209" s="148"/>
      <c r="B209" s="133"/>
      <c r="C209" s="149"/>
      <c r="D209" s="150"/>
      <c r="E209" s="151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</row>
    <row r="210">
      <c r="A210" s="148"/>
      <c r="B210" s="133"/>
      <c r="C210" s="149"/>
      <c r="D210" s="150"/>
      <c r="E210" s="151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</row>
    <row r="211">
      <c r="A211" s="148"/>
      <c r="B211" s="133"/>
      <c r="C211" s="149"/>
      <c r="D211" s="150"/>
      <c r="E211" s="151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</row>
    <row r="212">
      <c r="A212" s="148"/>
      <c r="B212" s="133"/>
      <c r="C212" s="149"/>
      <c r="D212" s="150"/>
      <c r="E212" s="151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</row>
    <row r="213">
      <c r="A213" s="148"/>
      <c r="B213" s="133"/>
      <c r="C213" s="149"/>
      <c r="D213" s="150"/>
      <c r="E213" s="151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</row>
    <row r="214">
      <c r="A214" s="148"/>
      <c r="B214" s="133"/>
      <c r="C214" s="149"/>
      <c r="D214" s="150"/>
      <c r="E214" s="151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</row>
    <row r="215">
      <c r="A215" s="148"/>
      <c r="B215" s="133"/>
      <c r="C215" s="149"/>
      <c r="D215" s="150"/>
      <c r="E215" s="151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</row>
    <row r="216">
      <c r="A216" s="148"/>
      <c r="B216" s="133"/>
      <c r="C216" s="149"/>
      <c r="D216" s="150"/>
      <c r="E216" s="151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</row>
    <row r="217">
      <c r="A217" s="148"/>
      <c r="B217" s="133"/>
      <c r="C217" s="149"/>
      <c r="D217" s="150"/>
      <c r="E217" s="151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</row>
    <row r="218">
      <c r="A218" s="148"/>
      <c r="B218" s="133"/>
      <c r="C218" s="149"/>
      <c r="D218" s="150"/>
      <c r="E218" s="151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</row>
    <row r="219">
      <c r="A219" s="148"/>
      <c r="B219" s="133"/>
      <c r="C219" s="149"/>
      <c r="D219" s="150"/>
      <c r="E219" s="151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</row>
    <row r="220">
      <c r="A220" s="148"/>
      <c r="B220" s="133"/>
      <c r="C220" s="149"/>
      <c r="D220" s="150"/>
      <c r="E220" s="151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</row>
    <row r="221">
      <c r="A221" s="148"/>
      <c r="B221" s="133"/>
      <c r="C221" s="149"/>
      <c r="D221" s="150"/>
      <c r="E221" s="151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</row>
    <row r="222">
      <c r="A222" s="148"/>
      <c r="B222" s="133"/>
      <c r="C222" s="149"/>
      <c r="D222" s="150"/>
      <c r="E222" s="151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</row>
    <row r="223">
      <c r="A223" s="148"/>
      <c r="B223" s="133"/>
      <c r="C223" s="149"/>
      <c r="D223" s="150"/>
      <c r="E223" s="151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</row>
    <row r="224">
      <c r="A224" s="148"/>
      <c r="B224" s="133"/>
      <c r="C224" s="149"/>
      <c r="D224" s="150"/>
      <c r="E224" s="151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</row>
    <row r="225">
      <c r="A225" s="148"/>
      <c r="B225" s="133"/>
      <c r="C225" s="149"/>
      <c r="D225" s="150"/>
      <c r="E225" s="151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</row>
    <row r="226">
      <c r="A226" s="148"/>
      <c r="B226" s="133"/>
      <c r="C226" s="149"/>
      <c r="D226" s="150"/>
      <c r="E226" s="151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</row>
    <row r="227">
      <c r="A227" s="148"/>
      <c r="B227" s="133"/>
      <c r="C227" s="149"/>
      <c r="D227" s="150"/>
      <c r="E227" s="151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</row>
    <row r="228">
      <c r="A228" s="148"/>
      <c r="B228" s="133"/>
      <c r="C228" s="149"/>
      <c r="D228" s="150"/>
      <c r="E228" s="151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</row>
    <row r="229">
      <c r="A229" s="148"/>
      <c r="B229" s="133"/>
      <c r="C229" s="149"/>
      <c r="D229" s="150"/>
      <c r="E229" s="151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</row>
    <row r="230">
      <c r="A230" s="148"/>
      <c r="B230" s="133"/>
      <c r="C230" s="149"/>
      <c r="D230" s="150"/>
      <c r="E230" s="151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</row>
    <row r="231">
      <c r="A231" s="148"/>
      <c r="B231" s="133"/>
      <c r="C231" s="149"/>
      <c r="D231" s="150"/>
      <c r="E231" s="151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</row>
    <row r="232">
      <c r="A232" s="148"/>
      <c r="B232" s="133"/>
      <c r="C232" s="149"/>
      <c r="D232" s="150"/>
      <c r="E232" s="151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</row>
    <row r="233">
      <c r="A233" s="148"/>
      <c r="B233" s="133"/>
      <c r="C233" s="149"/>
      <c r="D233" s="150"/>
      <c r="E233" s="151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</row>
    <row r="234">
      <c r="A234" s="148"/>
      <c r="B234" s="133"/>
      <c r="C234" s="149"/>
      <c r="D234" s="150"/>
      <c r="E234" s="151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</row>
    <row r="235">
      <c r="A235" s="148"/>
      <c r="B235" s="133"/>
      <c r="C235" s="149"/>
      <c r="D235" s="150"/>
      <c r="E235" s="151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</row>
    <row r="236">
      <c r="A236" s="148"/>
      <c r="B236" s="133"/>
      <c r="C236" s="149"/>
      <c r="D236" s="150"/>
      <c r="E236" s="151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</row>
    <row r="237">
      <c r="A237" s="148"/>
      <c r="B237" s="133"/>
      <c r="C237" s="149"/>
      <c r="D237" s="150"/>
      <c r="E237" s="151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</row>
    <row r="238">
      <c r="A238" s="148"/>
      <c r="B238" s="133"/>
      <c r="C238" s="149"/>
      <c r="D238" s="150"/>
      <c r="E238" s="151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</row>
    <row r="239">
      <c r="A239" s="148"/>
      <c r="B239" s="133"/>
      <c r="C239" s="149"/>
      <c r="D239" s="150"/>
      <c r="E239" s="151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</row>
    <row r="240">
      <c r="A240" s="148"/>
      <c r="B240" s="133"/>
      <c r="C240" s="149"/>
      <c r="D240" s="150"/>
      <c r="E240" s="151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</row>
    <row r="241">
      <c r="A241" s="148"/>
      <c r="B241" s="133"/>
      <c r="C241" s="149"/>
      <c r="D241" s="150"/>
      <c r="E241" s="151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</row>
    <row r="242">
      <c r="A242" s="148"/>
      <c r="B242" s="133"/>
      <c r="C242" s="149"/>
      <c r="D242" s="150"/>
      <c r="E242" s="151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</row>
    <row r="243">
      <c r="A243" s="148"/>
      <c r="B243" s="133"/>
      <c r="C243" s="149"/>
      <c r="D243" s="150"/>
      <c r="E243" s="151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</row>
    <row r="244">
      <c r="A244" s="148"/>
      <c r="B244" s="133"/>
      <c r="C244" s="149"/>
      <c r="D244" s="150"/>
      <c r="E244" s="151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</row>
    <row r="245">
      <c r="A245" s="148"/>
      <c r="B245" s="133"/>
      <c r="C245" s="149"/>
      <c r="D245" s="150"/>
      <c r="E245" s="151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</row>
    <row r="246">
      <c r="A246" s="148"/>
      <c r="B246" s="133"/>
      <c r="C246" s="149"/>
      <c r="D246" s="150"/>
      <c r="E246" s="151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</row>
    <row r="247">
      <c r="A247" s="148"/>
      <c r="B247" s="133"/>
      <c r="C247" s="149"/>
      <c r="D247" s="150"/>
      <c r="E247" s="151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</row>
    <row r="248">
      <c r="A248" s="148"/>
      <c r="B248" s="133"/>
      <c r="C248" s="149"/>
      <c r="D248" s="150"/>
      <c r="E248" s="151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</row>
    <row r="249">
      <c r="A249" s="148"/>
      <c r="B249" s="133"/>
      <c r="C249" s="149"/>
      <c r="D249" s="150"/>
      <c r="E249" s="151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</row>
    <row r="250">
      <c r="A250" s="148"/>
      <c r="B250" s="133"/>
      <c r="C250" s="149"/>
      <c r="D250" s="150"/>
      <c r="E250" s="151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</row>
    <row r="251">
      <c r="A251" s="148"/>
      <c r="B251" s="133"/>
      <c r="C251" s="149"/>
      <c r="D251" s="150"/>
      <c r="E251" s="151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</row>
    <row r="252">
      <c r="A252" s="148"/>
      <c r="B252" s="133"/>
      <c r="C252" s="149"/>
      <c r="D252" s="150"/>
      <c r="E252" s="151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</row>
    <row r="253">
      <c r="A253" s="148"/>
      <c r="B253" s="133"/>
      <c r="C253" s="149"/>
      <c r="D253" s="150"/>
      <c r="E253" s="151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</row>
    <row r="254">
      <c r="A254" s="148"/>
      <c r="B254" s="133"/>
      <c r="C254" s="149"/>
      <c r="D254" s="150"/>
      <c r="E254" s="151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</row>
    <row r="255">
      <c r="A255" s="148"/>
      <c r="B255" s="133"/>
      <c r="C255" s="149"/>
      <c r="D255" s="150"/>
      <c r="E255" s="151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</row>
    <row r="256">
      <c r="A256" s="148"/>
      <c r="B256" s="133"/>
      <c r="C256" s="149"/>
      <c r="D256" s="150"/>
      <c r="E256" s="151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</row>
    <row r="257">
      <c r="A257" s="148"/>
      <c r="B257" s="133"/>
      <c r="C257" s="149"/>
      <c r="D257" s="150"/>
      <c r="E257" s="151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</row>
    <row r="258">
      <c r="A258" s="148"/>
      <c r="B258" s="133"/>
      <c r="C258" s="149"/>
      <c r="D258" s="150"/>
      <c r="E258" s="151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</row>
    <row r="259">
      <c r="A259" s="148"/>
      <c r="B259" s="133"/>
      <c r="C259" s="149"/>
      <c r="D259" s="150"/>
      <c r="E259" s="151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</row>
    <row r="260">
      <c r="A260" s="148"/>
      <c r="B260" s="133"/>
      <c r="C260" s="149"/>
      <c r="D260" s="150"/>
      <c r="E260" s="151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</row>
    <row r="261">
      <c r="A261" s="148"/>
      <c r="B261" s="133"/>
      <c r="C261" s="149"/>
      <c r="D261" s="150"/>
      <c r="E261" s="151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</row>
    <row r="262">
      <c r="A262" s="148"/>
      <c r="B262" s="133"/>
      <c r="C262" s="149"/>
      <c r="D262" s="150"/>
      <c r="E262" s="151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</row>
    <row r="263">
      <c r="A263" s="148"/>
      <c r="B263" s="133"/>
      <c r="C263" s="149"/>
      <c r="D263" s="150"/>
      <c r="E263" s="151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</row>
    <row r="264">
      <c r="A264" s="148"/>
      <c r="B264" s="133"/>
      <c r="C264" s="149"/>
      <c r="D264" s="150"/>
      <c r="E264" s="151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</row>
    <row r="265">
      <c r="A265" s="148"/>
      <c r="B265" s="133"/>
      <c r="C265" s="149"/>
      <c r="D265" s="150"/>
      <c r="E265" s="151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</row>
    <row r="266">
      <c r="A266" s="148"/>
      <c r="B266" s="133"/>
      <c r="C266" s="149"/>
      <c r="D266" s="150"/>
      <c r="E266" s="151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</row>
    <row r="267">
      <c r="A267" s="148"/>
      <c r="B267" s="133"/>
      <c r="C267" s="149"/>
      <c r="D267" s="150"/>
      <c r="E267" s="151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</row>
    <row r="268">
      <c r="A268" s="148"/>
      <c r="B268" s="133"/>
      <c r="C268" s="149"/>
      <c r="D268" s="150"/>
      <c r="E268" s="151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</row>
    <row r="269">
      <c r="A269" s="148"/>
      <c r="B269" s="133"/>
      <c r="C269" s="149"/>
      <c r="D269" s="150"/>
      <c r="E269" s="151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</row>
    <row r="270">
      <c r="A270" s="148"/>
      <c r="B270" s="133"/>
      <c r="C270" s="149"/>
      <c r="D270" s="150"/>
      <c r="E270" s="151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</row>
    <row r="271">
      <c r="A271" s="148"/>
      <c r="B271" s="133"/>
      <c r="C271" s="149"/>
      <c r="D271" s="150"/>
      <c r="E271" s="151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</row>
    <row r="272">
      <c r="A272" s="148"/>
      <c r="B272" s="133"/>
      <c r="C272" s="149"/>
      <c r="D272" s="150"/>
      <c r="E272" s="151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</row>
    <row r="273">
      <c r="A273" s="148"/>
      <c r="B273" s="133"/>
      <c r="C273" s="149"/>
      <c r="D273" s="150"/>
      <c r="E273" s="151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</row>
    <row r="274">
      <c r="A274" s="148"/>
      <c r="B274" s="133"/>
      <c r="C274" s="149"/>
      <c r="D274" s="150"/>
      <c r="E274" s="151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</row>
    <row r="275">
      <c r="A275" s="148"/>
      <c r="B275" s="133"/>
      <c r="C275" s="149"/>
      <c r="D275" s="150"/>
      <c r="E275" s="151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</row>
    <row r="276">
      <c r="A276" s="148"/>
      <c r="B276" s="133"/>
      <c r="C276" s="149"/>
      <c r="D276" s="150"/>
      <c r="E276" s="151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</row>
    <row r="277">
      <c r="A277" s="148"/>
      <c r="B277" s="133"/>
      <c r="C277" s="149"/>
      <c r="D277" s="150"/>
      <c r="E277" s="151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</row>
    <row r="278">
      <c r="A278" s="148"/>
      <c r="B278" s="133"/>
      <c r="C278" s="149"/>
      <c r="D278" s="150"/>
      <c r="E278" s="151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</row>
    <row r="279">
      <c r="A279" s="148"/>
      <c r="B279" s="133"/>
      <c r="C279" s="149"/>
      <c r="D279" s="150"/>
      <c r="E279" s="151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</row>
    <row r="280">
      <c r="A280" s="148"/>
      <c r="B280" s="133"/>
      <c r="C280" s="149"/>
      <c r="D280" s="150"/>
      <c r="E280" s="151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</row>
    <row r="281">
      <c r="A281" s="148"/>
      <c r="B281" s="133"/>
      <c r="C281" s="149"/>
      <c r="D281" s="150"/>
      <c r="E281" s="151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</row>
    <row r="282">
      <c r="A282" s="148"/>
      <c r="B282" s="133"/>
      <c r="C282" s="149"/>
      <c r="D282" s="150"/>
      <c r="E282" s="151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</row>
    <row r="283">
      <c r="A283" s="148"/>
      <c r="B283" s="133"/>
      <c r="C283" s="149"/>
      <c r="D283" s="150"/>
      <c r="E283" s="151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</row>
    <row r="284">
      <c r="A284" s="148"/>
      <c r="B284" s="133"/>
      <c r="C284" s="149"/>
      <c r="D284" s="150"/>
      <c r="E284" s="151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</row>
    <row r="285">
      <c r="A285" s="148"/>
      <c r="B285" s="133"/>
      <c r="C285" s="149"/>
      <c r="D285" s="150"/>
      <c r="E285" s="151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</row>
    <row r="286">
      <c r="A286" s="148"/>
      <c r="B286" s="133"/>
      <c r="C286" s="149"/>
      <c r="D286" s="150"/>
      <c r="E286" s="151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</row>
    <row r="287">
      <c r="A287" s="148"/>
      <c r="B287" s="133"/>
      <c r="C287" s="149"/>
      <c r="D287" s="150"/>
      <c r="E287" s="151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</row>
    <row r="288">
      <c r="A288" s="148"/>
      <c r="B288" s="133"/>
      <c r="C288" s="149"/>
      <c r="D288" s="150"/>
      <c r="E288" s="151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</row>
    <row r="289">
      <c r="A289" s="148"/>
      <c r="B289" s="133"/>
      <c r="C289" s="149"/>
      <c r="D289" s="150"/>
      <c r="E289" s="151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</row>
    <row r="290">
      <c r="A290" s="148"/>
      <c r="B290" s="133"/>
      <c r="C290" s="149"/>
      <c r="D290" s="150"/>
      <c r="E290" s="151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</row>
    <row r="291">
      <c r="A291" s="148"/>
      <c r="B291" s="133"/>
      <c r="C291" s="149"/>
      <c r="D291" s="150"/>
      <c r="E291" s="151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</row>
    <row r="292">
      <c r="A292" s="148"/>
      <c r="B292" s="133"/>
      <c r="C292" s="149"/>
      <c r="D292" s="150"/>
      <c r="E292" s="151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</row>
    <row r="293">
      <c r="A293" s="148"/>
      <c r="B293" s="133"/>
      <c r="C293" s="149"/>
      <c r="D293" s="150"/>
      <c r="E293" s="151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</row>
    <row r="294">
      <c r="A294" s="148"/>
      <c r="B294" s="133"/>
      <c r="C294" s="149"/>
      <c r="D294" s="150"/>
      <c r="E294" s="151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</row>
    <row r="295">
      <c r="A295" s="148"/>
      <c r="B295" s="133"/>
      <c r="C295" s="149"/>
      <c r="D295" s="150"/>
      <c r="E295" s="151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</row>
    <row r="296">
      <c r="A296" s="148"/>
      <c r="B296" s="133"/>
      <c r="C296" s="149"/>
      <c r="D296" s="150"/>
      <c r="E296" s="151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</row>
    <row r="297">
      <c r="A297" s="148"/>
      <c r="B297" s="133"/>
      <c r="C297" s="149"/>
      <c r="D297" s="150"/>
      <c r="E297" s="151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</row>
    <row r="298">
      <c r="A298" s="148"/>
      <c r="B298" s="133"/>
      <c r="C298" s="149"/>
      <c r="D298" s="150"/>
      <c r="E298" s="151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</row>
    <row r="299">
      <c r="A299" s="148"/>
      <c r="B299" s="133"/>
      <c r="C299" s="149"/>
      <c r="D299" s="150"/>
      <c r="E299" s="151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</row>
    <row r="300">
      <c r="A300" s="148"/>
      <c r="B300" s="133"/>
      <c r="C300" s="149"/>
      <c r="D300" s="150"/>
      <c r="E300" s="151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</row>
    <row r="301">
      <c r="A301" s="148"/>
      <c r="B301" s="133"/>
      <c r="C301" s="149"/>
      <c r="D301" s="150"/>
      <c r="E301" s="151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</row>
    <row r="302">
      <c r="A302" s="148"/>
      <c r="B302" s="133"/>
      <c r="C302" s="149"/>
      <c r="D302" s="150"/>
      <c r="E302" s="151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</row>
    <row r="303">
      <c r="A303" s="148"/>
      <c r="B303" s="133"/>
      <c r="C303" s="149"/>
      <c r="D303" s="150"/>
      <c r="E303" s="151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</row>
    <row r="304">
      <c r="A304" s="148"/>
      <c r="B304" s="133"/>
      <c r="C304" s="149"/>
      <c r="D304" s="150"/>
      <c r="E304" s="151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</row>
    <row r="305">
      <c r="A305" s="148"/>
      <c r="B305" s="133"/>
      <c r="C305" s="149"/>
      <c r="D305" s="150"/>
      <c r="E305" s="151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</row>
    <row r="306">
      <c r="A306" s="148"/>
      <c r="B306" s="133"/>
      <c r="C306" s="149"/>
      <c r="D306" s="150"/>
      <c r="E306" s="151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</row>
    <row r="307">
      <c r="A307" s="148"/>
      <c r="B307" s="133"/>
      <c r="C307" s="149"/>
      <c r="D307" s="150"/>
      <c r="E307" s="151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</row>
    <row r="308">
      <c r="A308" s="148"/>
      <c r="B308" s="133"/>
      <c r="C308" s="149"/>
      <c r="D308" s="150"/>
      <c r="E308" s="151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</row>
    <row r="309">
      <c r="A309" s="148"/>
      <c r="B309" s="133"/>
      <c r="C309" s="149"/>
      <c r="D309" s="150"/>
      <c r="E309" s="151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</row>
    <row r="310">
      <c r="A310" s="148"/>
      <c r="B310" s="133"/>
      <c r="C310" s="149"/>
      <c r="D310" s="150"/>
      <c r="E310" s="151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</row>
    <row r="311">
      <c r="A311" s="148"/>
      <c r="B311" s="133"/>
      <c r="C311" s="149"/>
      <c r="D311" s="150"/>
      <c r="E311" s="151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</row>
    <row r="312">
      <c r="A312" s="148"/>
      <c r="B312" s="133"/>
      <c r="C312" s="149"/>
      <c r="D312" s="150"/>
      <c r="E312" s="151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</row>
    <row r="313">
      <c r="A313" s="148"/>
      <c r="B313" s="133"/>
      <c r="C313" s="149"/>
      <c r="D313" s="150"/>
      <c r="E313" s="151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</row>
    <row r="314">
      <c r="A314" s="148"/>
      <c r="B314" s="133"/>
      <c r="C314" s="149"/>
      <c r="D314" s="150"/>
      <c r="E314" s="151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</row>
    <row r="315">
      <c r="A315" s="148"/>
      <c r="B315" s="133"/>
      <c r="C315" s="149"/>
      <c r="D315" s="150"/>
      <c r="E315" s="151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</row>
    <row r="316">
      <c r="A316" s="148"/>
      <c r="B316" s="133"/>
      <c r="C316" s="149"/>
      <c r="D316" s="150"/>
      <c r="E316" s="151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</row>
    <row r="317">
      <c r="A317" s="148"/>
      <c r="B317" s="133"/>
      <c r="C317" s="149"/>
      <c r="D317" s="150"/>
      <c r="E317" s="151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</row>
    <row r="318">
      <c r="A318" s="148"/>
      <c r="B318" s="133"/>
      <c r="C318" s="149"/>
      <c r="D318" s="150"/>
      <c r="E318" s="151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</row>
    <row r="319">
      <c r="A319" s="148"/>
      <c r="B319" s="133"/>
      <c r="C319" s="149"/>
      <c r="D319" s="150"/>
      <c r="E319" s="151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</row>
    <row r="320">
      <c r="A320" s="148"/>
      <c r="B320" s="133"/>
      <c r="C320" s="149"/>
      <c r="D320" s="150"/>
      <c r="E320" s="151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</row>
    <row r="321">
      <c r="A321" s="148"/>
      <c r="B321" s="133"/>
      <c r="C321" s="149"/>
      <c r="D321" s="150"/>
      <c r="E321" s="151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</row>
    <row r="322">
      <c r="A322" s="148"/>
      <c r="B322" s="133"/>
      <c r="C322" s="149"/>
      <c r="D322" s="150"/>
      <c r="E322" s="151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</row>
    <row r="323">
      <c r="A323" s="148"/>
      <c r="B323" s="133"/>
      <c r="C323" s="149"/>
      <c r="D323" s="150"/>
      <c r="E323" s="151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</row>
    <row r="324">
      <c r="A324" s="148"/>
      <c r="B324" s="133"/>
      <c r="C324" s="149"/>
      <c r="D324" s="150"/>
      <c r="E324" s="151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</row>
    <row r="325">
      <c r="A325" s="148"/>
      <c r="B325" s="133"/>
      <c r="C325" s="149"/>
      <c r="D325" s="150"/>
      <c r="E325" s="151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</row>
    <row r="326">
      <c r="A326" s="148"/>
      <c r="B326" s="133"/>
      <c r="C326" s="149"/>
      <c r="D326" s="150"/>
      <c r="E326" s="151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</row>
    <row r="327">
      <c r="A327" s="148"/>
      <c r="B327" s="133"/>
      <c r="C327" s="149"/>
      <c r="D327" s="150"/>
      <c r="E327" s="151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</row>
    <row r="328">
      <c r="A328" s="148"/>
      <c r="B328" s="133"/>
      <c r="C328" s="149"/>
      <c r="D328" s="150"/>
      <c r="E328" s="151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</row>
    <row r="329">
      <c r="A329" s="148"/>
      <c r="B329" s="133"/>
      <c r="C329" s="149"/>
      <c r="D329" s="150"/>
      <c r="E329" s="151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</row>
    <row r="330">
      <c r="A330" s="148"/>
      <c r="B330" s="133"/>
      <c r="C330" s="149"/>
      <c r="D330" s="150"/>
      <c r="E330" s="151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</row>
    <row r="331">
      <c r="A331" s="148"/>
      <c r="B331" s="133"/>
      <c r="C331" s="149"/>
      <c r="D331" s="150"/>
      <c r="E331" s="151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</row>
    <row r="332">
      <c r="A332" s="148"/>
      <c r="B332" s="133"/>
      <c r="C332" s="149"/>
      <c r="D332" s="150"/>
      <c r="E332" s="151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</row>
    <row r="333">
      <c r="A333" s="148"/>
      <c r="B333" s="133"/>
      <c r="C333" s="149"/>
      <c r="D333" s="150"/>
      <c r="E333" s="151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</row>
    <row r="334">
      <c r="A334" s="148"/>
      <c r="B334" s="133"/>
      <c r="C334" s="149"/>
      <c r="D334" s="150"/>
      <c r="E334" s="151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</row>
    <row r="335">
      <c r="A335" s="148"/>
      <c r="B335" s="133"/>
      <c r="C335" s="149"/>
      <c r="D335" s="150"/>
      <c r="E335" s="151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</row>
    <row r="336">
      <c r="A336" s="148"/>
      <c r="B336" s="133"/>
      <c r="C336" s="149"/>
      <c r="D336" s="150"/>
      <c r="E336" s="151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</row>
    <row r="337">
      <c r="A337" s="148"/>
      <c r="B337" s="133"/>
      <c r="C337" s="149"/>
      <c r="D337" s="150"/>
      <c r="E337" s="151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</row>
    <row r="338">
      <c r="A338" s="148"/>
      <c r="B338" s="133"/>
      <c r="C338" s="149"/>
      <c r="D338" s="150"/>
      <c r="E338" s="151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</row>
    <row r="339">
      <c r="A339" s="148"/>
      <c r="B339" s="133"/>
      <c r="C339" s="149"/>
      <c r="D339" s="150"/>
      <c r="E339" s="151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</row>
    <row r="340">
      <c r="A340" s="148"/>
      <c r="B340" s="133"/>
      <c r="C340" s="149"/>
      <c r="D340" s="150"/>
      <c r="E340" s="151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</row>
    <row r="341">
      <c r="A341" s="148"/>
      <c r="B341" s="133"/>
      <c r="C341" s="149"/>
      <c r="D341" s="150"/>
      <c r="E341" s="151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</row>
    <row r="342">
      <c r="A342" s="148"/>
      <c r="B342" s="133"/>
      <c r="C342" s="149"/>
      <c r="D342" s="150"/>
      <c r="E342" s="151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</row>
    <row r="343">
      <c r="A343" s="148"/>
      <c r="B343" s="133"/>
      <c r="C343" s="149"/>
      <c r="D343" s="150"/>
      <c r="E343" s="151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</row>
    <row r="344">
      <c r="A344" s="148"/>
      <c r="B344" s="133"/>
      <c r="C344" s="149"/>
      <c r="D344" s="150"/>
      <c r="E344" s="151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</row>
    <row r="345">
      <c r="A345" s="148"/>
      <c r="B345" s="133"/>
      <c r="C345" s="149"/>
      <c r="D345" s="150"/>
      <c r="E345" s="151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</row>
    <row r="346">
      <c r="A346" s="148"/>
      <c r="B346" s="133"/>
      <c r="C346" s="149"/>
      <c r="D346" s="150"/>
      <c r="E346" s="151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</row>
    <row r="347">
      <c r="A347" s="148"/>
      <c r="B347" s="133"/>
      <c r="C347" s="149"/>
      <c r="D347" s="150"/>
      <c r="E347" s="151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</row>
    <row r="348">
      <c r="A348" s="148"/>
      <c r="B348" s="133"/>
      <c r="C348" s="149"/>
      <c r="D348" s="150"/>
      <c r="E348" s="151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</row>
    <row r="349">
      <c r="A349" s="148"/>
      <c r="B349" s="133"/>
      <c r="C349" s="149"/>
      <c r="D349" s="150"/>
      <c r="E349" s="151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</row>
    <row r="350">
      <c r="A350" s="148"/>
      <c r="B350" s="133"/>
      <c r="C350" s="149"/>
      <c r="D350" s="150"/>
      <c r="E350" s="151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</row>
    <row r="351">
      <c r="A351" s="148"/>
      <c r="B351" s="133"/>
      <c r="C351" s="149"/>
      <c r="D351" s="150"/>
      <c r="E351" s="151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</row>
    <row r="352">
      <c r="A352" s="148"/>
      <c r="B352" s="133"/>
      <c r="C352" s="149"/>
      <c r="D352" s="150"/>
      <c r="E352" s="151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</row>
    <row r="353">
      <c r="A353" s="148"/>
      <c r="B353" s="133"/>
      <c r="C353" s="149"/>
      <c r="D353" s="150"/>
      <c r="E353" s="151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</row>
    <row r="354">
      <c r="A354" s="148"/>
      <c r="B354" s="133"/>
      <c r="C354" s="149"/>
      <c r="D354" s="150"/>
      <c r="E354" s="151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</row>
    <row r="355">
      <c r="A355" s="148"/>
      <c r="B355" s="133"/>
      <c r="C355" s="149"/>
      <c r="D355" s="150"/>
      <c r="E355" s="151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</row>
    <row r="356">
      <c r="A356" s="148"/>
      <c r="B356" s="133"/>
      <c r="C356" s="149"/>
      <c r="D356" s="150"/>
      <c r="E356" s="151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</row>
    <row r="357">
      <c r="A357" s="148"/>
      <c r="B357" s="133"/>
      <c r="C357" s="149"/>
      <c r="D357" s="150"/>
      <c r="E357" s="151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</row>
    <row r="358">
      <c r="A358" s="148"/>
      <c r="B358" s="133"/>
      <c r="C358" s="149"/>
      <c r="D358" s="150"/>
      <c r="E358" s="151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</row>
    <row r="359">
      <c r="A359" s="148"/>
      <c r="B359" s="133"/>
      <c r="C359" s="149"/>
      <c r="D359" s="150"/>
      <c r="E359" s="151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</row>
    <row r="360">
      <c r="A360" s="148"/>
      <c r="B360" s="133"/>
      <c r="C360" s="149"/>
      <c r="D360" s="150"/>
      <c r="E360" s="151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</row>
    <row r="361">
      <c r="A361" s="148"/>
      <c r="B361" s="133"/>
      <c r="C361" s="149"/>
      <c r="D361" s="150"/>
      <c r="E361" s="151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</row>
    <row r="362">
      <c r="A362" s="148"/>
      <c r="B362" s="133"/>
      <c r="C362" s="149"/>
      <c r="D362" s="150"/>
      <c r="E362" s="151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</row>
    <row r="363">
      <c r="A363" s="148"/>
      <c r="B363" s="133"/>
      <c r="C363" s="149"/>
      <c r="D363" s="150"/>
      <c r="E363" s="151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</row>
    <row r="364">
      <c r="A364" s="148"/>
      <c r="B364" s="133"/>
      <c r="C364" s="149"/>
      <c r="D364" s="150"/>
      <c r="E364" s="151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</row>
    <row r="365">
      <c r="A365" s="148"/>
      <c r="B365" s="133"/>
      <c r="C365" s="149"/>
      <c r="D365" s="150"/>
      <c r="E365" s="151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</row>
    <row r="366">
      <c r="A366" s="148"/>
      <c r="B366" s="133"/>
      <c r="C366" s="149"/>
      <c r="D366" s="150"/>
      <c r="E366" s="151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</row>
    <row r="367">
      <c r="A367" s="148"/>
      <c r="B367" s="133"/>
      <c r="C367" s="149"/>
      <c r="D367" s="150"/>
      <c r="E367" s="151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</row>
    <row r="368">
      <c r="A368" s="148"/>
      <c r="B368" s="133"/>
      <c r="C368" s="149"/>
      <c r="D368" s="150"/>
      <c r="E368" s="151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</row>
    <row r="369">
      <c r="A369" s="148"/>
      <c r="B369" s="133"/>
      <c r="C369" s="149"/>
      <c r="D369" s="150"/>
      <c r="E369" s="151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</row>
    <row r="370">
      <c r="A370" s="148"/>
      <c r="B370" s="133"/>
      <c r="C370" s="149"/>
      <c r="D370" s="150"/>
      <c r="E370" s="151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</row>
    <row r="371">
      <c r="A371" s="148"/>
      <c r="B371" s="133"/>
      <c r="C371" s="149"/>
      <c r="D371" s="150"/>
      <c r="E371" s="151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</row>
    <row r="372">
      <c r="A372" s="148"/>
      <c r="B372" s="133"/>
      <c r="C372" s="149"/>
      <c r="D372" s="150"/>
      <c r="E372" s="151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</row>
    <row r="373">
      <c r="A373" s="148"/>
      <c r="B373" s="133"/>
      <c r="C373" s="149"/>
      <c r="D373" s="150"/>
      <c r="E373" s="151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</row>
    <row r="374">
      <c r="A374" s="148"/>
      <c r="B374" s="133"/>
      <c r="C374" s="149"/>
      <c r="D374" s="150"/>
      <c r="E374" s="151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</row>
    <row r="375">
      <c r="A375" s="148"/>
      <c r="B375" s="133"/>
      <c r="C375" s="149"/>
      <c r="D375" s="150"/>
      <c r="E375" s="151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</row>
    <row r="376">
      <c r="A376" s="148"/>
      <c r="B376" s="133"/>
      <c r="C376" s="149"/>
      <c r="D376" s="150"/>
      <c r="E376" s="151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</row>
    <row r="377">
      <c r="A377" s="148"/>
      <c r="B377" s="133"/>
      <c r="C377" s="149"/>
      <c r="D377" s="150"/>
      <c r="E377" s="151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</row>
    <row r="378">
      <c r="A378" s="148"/>
      <c r="B378" s="133"/>
      <c r="C378" s="149"/>
      <c r="D378" s="150"/>
      <c r="E378" s="151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</row>
    <row r="379">
      <c r="A379" s="148"/>
      <c r="B379" s="133"/>
      <c r="C379" s="149"/>
      <c r="D379" s="150"/>
      <c r="E379" s="151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</row>
    <row r="380">
      <c r="A380" s="148"/>
      <c r="B380" s="133"/>
      <c r="C380" s="149"/>
      <c r="D380" s="150"/>
      <c r="E380" s="151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</row>
    <row r="381">
      <c r="A381" s="148"/>
      <c r="B381" s="133"/>
      <c r="C381" s="149"/>
      <c r="D381" s="150"/>
      <c r="E381" s="151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</row>
    <row r="382">
      <c r="A382" s="148"/>
      <c r="B382" s="133"/>
      <c r="C382" s="149"/>
      <c r="D382" s="150"/>
      <c r="E382" s="151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</row>
    <row r="383">
      <c r="A383" s="148"/>
      <c r="B383" s="133"/>
      <c r="C383" s="149"/>
      <c r="D383" s="150"/>
      <c r="E383" s="151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</row>
    <row r="384">
      <c r="A384" s="148"/>
      <c r="B384" s="133"/>
      <c r="C384" s="149"/>
      <c r="D384" s="150"/>
      <c r="E384" s="151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</row>
    <row r="385">
      <c r="A385" s="148"/>
      <c r="B385" s="133"/>
      <c r="C385" s="149"/>
      <c r="D385" s="150"/>
      <c r="E385" s="151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</row>
    <row r="386">
      <c r="A386" s="148"/>
      <c r="B386" s="133"/>
      <c r="C386" s="149"/>
      <c r="D386" s="150"/>
      <c r="E386" s="151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</row>
    <row r="387">
      <c r="A387" s="148"/>
      <c r="B387" s="133"/>
      <c r="C387" s="149"/>
      <c r="D387" s="150"/>
      <c r="E387" s="151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</row>
    <row r="388">
      <c r="A388" s="148"/>
      <c r="B388" s="133"/>
      <c r="C388" s="149"/>
      <c r="D388" s="150"/>
      <c r="E388" s="151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</row>
    <row r="389">
      <c r="A389" s="148"/>
      <c r="B389" s="133"/>
      <c r="C389" s="149"/>
      <c r="D389" s="150"/>
      <c r="E389" s="151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</row>
    <row r="390">
      <c r="A390" s="148"/>
      <c r="B390" s="133"/>
      <c r="C390" s="149"/>
      <c r="D390" s="150"/>
      <c r="E390" s="151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</row>
    <row r="391">
      <c r="A391" s="148"/>
      <c r="B391" s="133"/>
      <c r="C391" s="149"/>
      <c r="D391" s="150"/>
      <c r="E391" s="151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</row>
    <row r="392">
      <c r="A392" s="148"/>
      <c r="B392" s="133"/>
      <c r="C392" s="149"/>
      <c r="D392" s="150"/>
      <c r="E392" s="151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</row>
    <row r="393">
      <c r="A393" s="148"/>
      <c r="B393" s="133"/>
      <c r="C393" s="149"/>
      <c r="D393" s="150"/>
      <c r="E393" s="151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</row>
    <row r="394">
      <c r="A394" s="148"/>
      <c r="B394" s="133"/>
      <c r="C394" s="149"/>
      <c r="D394" s="150"/>
      <c r="E394" s="151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</row>
    <row r="395">
      <c r="A395" s="148"/>
      <c r="B395" s="133"/>
      <c r="C395" s="149"/>
      <c r="D395" s="150"/>
      <c r="E395" s="151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</row>
    <row r="396">
      <c r="A396" s="148"/>
      <c r="B396" s="133"/>
      <c r="C396" s="149"/>
      <c r="D396" s="150"/>
      <c r="E396" s="151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</row>
    <row r="397">
      <c r="A397" s="148"/>
      <c r="B397" s="133"/>
      <c r="C397" s="149"/>
      <c r="D397" s="150"/>
      <c r="E397" s="151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</row>
    <row r="398">
      <c r="A398" s="148"/>
      <c r="B398" s="133"/>
      <c r="C398" s="149"/>
      <c r="D398" s="150"/>
      <c r="E398" s="151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</row>
    <row r="399">
      <c r="A399" s="148"/>
      <c r="B399" s="133"/>
      <c r="C399" s="149"/>
      <c r="D399" s="150"/>
      <c r="E399" s="151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</row>
    <row r="400">
      <c r="A400" s="148"/>
      <c r="B400" s="133"/>
      <c r="C400" s="149"/>
      <c r="D400" s="150"/>
      <c r="E400" s="151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</row>
    <row r="401">
      <c r="A401" s="148"/>
      <c r="B401" s="133"/>
      <c r="C401" s="149"/>
      <c r="D401" s="150"/>
      <c r="E401" s="151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</row>
    <row r="402">
      <c r="A402" s="148"/>
      <c r="B402" s="133"/>
      <c r="C402" s="149"/>
      <c r="D402" s="150"/>
      <c r="E402" s="151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</row>
    <row r="403">
      <c r="A403" s="148"/>
      <c r="B403" s="133"/>
      <c r="C403" s="149"/>
      <c r="D403" s="150"/>
      <c r="E403" s="151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</row>
    <row r="404">
      <c r="A404" s="148"/>
      <c r="B404" s="133"/>
      <c r="C404" s="149"/>
      <c r="D404" s="150"/>
      <c r="E404" s="151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</row>
    <row r="405">
      <c r="A405" s="148"/>
      <c r="B405" s="133"/>
      <c r="C405" s="149"/>
      <c r="D405" s="150"/>
      <c r="E405" s="151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</row>
    <row r="406">
      <c r="A406" s="148"/>
      <c r="B406" s="133"/>
      <c r="C406" s="149"/>
      <c r="D406" s="150"/>
      <c r="E406" s="151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</row>
    <row r="407">
      <c r="A407" s="148"/>
      <c r="B407" s="133"/>
      <c r="C407" s="149"/>
      <c r="D407" s="150"/>
      <c r="E407" s="151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</row>
    <row r="408">
      <c r="A408" s="148"/>
      <c r="B408" s="133"/>
      <c r="C408" s="149"/>
      <c r="D408" s="150"/>
      <c r="E408" s="151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</row>
    <row r="409">
      <c r="A409" s="148"/>
      <c r="B409" s="133"/>
      <c r="C409" s="149"/>
      <c r="D409" s="150"/>
      <c r="E409" s="151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</row>
    <row r="410">
      <c r="A410" s="148"/>
      <c r="B410" s="133"/>
      <c r="C410" s="149"/>
      <c r="D410" s="150"/>
      <c r="E410" s="151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</row>
    <row r="411">
      <c r="A411" s="148"/>
      <c r="B411" s="133"/>
      <c r="C411" s="149"/>
      <c r="D411" s="150"/>
      <c r="E411" s="151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</row>
    <row r="412">
      <c r="A412" s="148"/>
      <c r="B412" s="133"/>
      <c r="C412" s="149"/>
      <c r="D412" s="150"/>
      <c r="E412" s="151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</row>
    <row r="413">
      <c r="A413" s="148"/>
      <c r="B413" s="133"/>
      <c r="C413" s="149"/>
      <c r="D413" s="150"/>
      <c r="E413" s="151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</row>
    <row r="414">
      <c r="A414" s="148"/>
      <c r="B414" s="133"/>
      <c r="C414" s="149"/>
      <c r="D414" s="150"/>
      <c r="E414" s="151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</row>
    <row r="415">
      <c r="A415" s="148"/>
      <c r="B415" s="133"/>
      <c r="C415" s="149"/>
      <c r="D415" s="150"/>
      <c r="E415" s="151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</row>
    <row r="416">
      <c r="A416" s="148"/>
      <c r="B416" s="133"/>
      <c r="C416" s="149"/>
      <c r="D416" s="150"/>
      <c r="E416" s="151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</row>
    <row r="417">
      <c r="A417" s="148"/>
      <c r="B417" s="133"/>
      <c r="C417" s="149"/>
      <c r="D417" s="150"/>
      <c r="E417" s="151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</row>
    <row r="418">
      <c r="A418" s="148"/>
      <c r="B418" s="133"/>
      <c r="C418" s="149"/>
      <c r="D418" s="150"/>
      <c r="E418" s="151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</row>
    <row r="419">
      <c r="A419" s="148"/>
      <c r="B419" s="133"/>
      <c r="C419" s="149"/>
      <c r="D419" s="150"/>
      <c r="E419" s="151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</row>
    <row r="420">
      <c r="A420" s="148"/>
      <c r="B420" s="133"/>
      <c r="C420" s="149"/>
      <c r="D420" s="150"/>
      <c r="E420" s="151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</row>
    <row r="421">
      <c r="A421" s="148"/>
      <c r="B421" s="133"/>
      <c r="C421" s="149"/>
      <c r="D421" s="150"/>
      <c r="E421" s="151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</row>
    <row r="422">
      <c r="A422" s="148"/>
      <c r="B422" s="133"/>
      <c r="C422" s="149"/>
      <c r="D422" s="150"/>
      <c r="E422" s="151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</row>
    <row r="423">
      <c r="A423" s="148"/>
      <c r="B423" s="133"/>
      <c r="C423" s="149"/>
      <c r="D423" s="150"/>
      <c r="E423" s="151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</row>
    <row r="424">
      <c r="A424" s="148"/>
      <c r="B424" s="133"/>
      <c r="C424" s="149"/>
      <c r="D424" s="150"/>
      <c r="E424" s="151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</row>
    <row r="425">
      <c r="A425" s="148"/>
      <c r="B425" s="133"/>
      <c r="C425" s="149"/>
      <c r="D425" s="150"/>
      <c r="E425" s="151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</row>
    <row r="426">
      <c r="A426" s="148"/>
      <c r="B426" s="133"/>
      <c r="C426" s="149"/>
      <c r="D426" s="150"/>
      <c r="E426" s="151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</row>
    <row r="427">
      <c r="A427" s="148"/>
      <c r="B427" s="133"/>
      <c r="C427" s="149"/>
      <c r="D427" s="150"/>
      <c r="E427" s="151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</row>
    <row r="428">
      <c r="A428" s="148"/>
      <c r="B428" s="133"/>
      <c r="C428" s="149"/>
      <c r="D428" s="150"/>
      <c r="E428" s="151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</row>
    <row r="429">
      <c r="A429" s="148"/>
      <c r="B429" s="133"/>
      <c r="C429" s="149"/>
      <c r="D429" s="150"/>
      <c r="E429" s="151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</row>
    <row r="430">
      <c r="A430" s="148"/>
      <c r="B430" s="133"/>
      <c r="C430" s="149"/>
      <c r="D430" s="150"/>
      <c r="E430" s="151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</row>
    <row r="431">
      <c r="A431" s="148"/>
      <c r="B431" s="133"/>
      <c r="C431" s="149"/>
      <c r="D431" s="150"/>
      <c r="E431" s="151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</row>
    <row r="432">
      <c r="A432" s="148"/>
      <c r="B432" s="133"/>
      <c r="C432" s="149"/>
      <c r="D432" s="150"/>
      <c r="E432" s="151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</row>
    <row r="433">
      <c r="A433" s="148"/>
      <c r="B433" s="133"/>
      <c r="C433" s="149"/>
      <c r="D433" s="150"/>
      <c r="E433" s="151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</row>
    <row r="434">
      <c r="A434" s="148"/>
      <c r="B434" s="133"/>
      <c r="C434" s="149"/>
      <c r="D434" s="150"/>
      <c r="E434" s="151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</row>
    <row r="435">
      <c r="A435" s="148"/>
      <c r="B435" s="133"/>
      <c r="C435" s="149"/>
      <c r="D435" s="150"/>
      <c r="E435" s="151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</row>
    <row r="436">
      <c r="A436" s="148"/>
      <c r="B436" s="133"/>
      <c r="C436" s="149"/>
      <c r="D436" s="150"/>
      <c r="E436" s="151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</row>
    <row r="437">
      <c r="A437" s="148"/>
      <c r="B437" s="133"/>
      <c r="C437" s="149"/>
      <c r="D437" s="150"/>
      <c r="E437" s="151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</row>
    <row r="438">
      <c r="A438" s="148"/>
      <c r="B438" s="133"/>
      <c r="C438" s="149"/>
      <c r="D438" s="150"/>
      <c r="E438" s="151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</row>
    <row r="439">
      <c r="A439" s="148"/>
      <c r="B439" s="133"/>
      <c r="C439" s="149"/>
      <c r="D439" s="150"/>
      <c r="E439" s="151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</row>
    <row r="440">
      <c r="A440" s="148"/>
      <c r="B440" s="133"/>
      <c r="C440" s="149"/>
      <c r="D440" s="150"/>
      <c r="E440" s="151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</row>
    <row r="441">
      <c r="A441" s="148"/>
      <c r="B441" s="133"/>
      <c r="C441" s="149"/>
      <c r="D441" s="150"/>
      <c r="E441" s="151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</row>
    <row r="442">
      <c r="A442" s="148"/>
      <c r="B442" s="133"/>
      <c r="C442" s="149"/>
      <c r="D442" s="150"/>
      <c r="E442" s="151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</row>
    <row r="443">
      <c r="A443" s="148"/>
      <c r="B443" s="133"/>
      <c r="C443" s="149"/>
      <c r="D443" s="150"/>
      <c r="E443" s="151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</row>
    <row r="444">
      <c r="A444" s="148"/>
      <c r="B444" s="133"/>
      <c r="C444" s="149"/>
      <c r="D444" s="150"/>
      <c r="E444" s="151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</row>
    <row r="445">
      <c r="A445" s="148"/>
      <c r="B445" s="133"/>
      <c r="C445" s="149"/>
      <c r="D445" s="150"/>
      <c r="E445" s="151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</row>
    <row r="446">
      <c r="A446" s="148"/>
      <c r="B446" s="133"/>
      <c r="C446" s="149"/>
      <c r="D446" s="150"/>
      <c r="E446" s="151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</row>
    <row r="447">
      <c r="A447" s="148"/>
      <c r="B447" s="133"/>
      <c r="C447" s="149"/>
      <c r="D447" s="150"/>
      <c r="E447" s="151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</row>
    <row r="448">
      <c r="A448" s="148"/>
      <c r="B448" s="133"/>
      <c r="C448" s="149"/>
      <c r="D448" s="150"/>
      <c r="E448" s="151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</row>
    <row r="449">
      <c r="A449" s="148"/>
      <c r="B449" s="133"/>
      <c r="C449" s="149"/>
      <c r="D449" s="150"/>
      <c r="E449" s="151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</row>
    <row r="450">
      <c r="A450" s="148"/>
      <c r="B450" s="133"/>
      <c r="C450" s="149"/>
      <c r="D450" s="150"/>
      <c r="E450" s="151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</row>
    <row r="451">
      <c r="A451" s="148"/>
      <c r="B451" s="133"/>
      <c r="C451" s="149"/>
      <c r="D451" s="150"/>
      <c r="E451" s="151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</row>
    <row r="452">
      <c r="A452" s="148"/>
      <c r="B452" s="133"/>
      <c r="C452" s="149"/>
      <c r="D452" s="150"/>
      <c r="E452" s="151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</row>
    <row r="453">
      <c r="A453" s="148"/>
      <c r="B453" s="133"/>
      <c r="C453" s="149"/>
      <c r="D453" s="150"/>
      <c r="E453" s="151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</row>
    <row r="454">
      <c r="A454" s="148"/>
      <c r="B454" s="133"/>
      <c r="C454" s="149"/>
      <c r="D454" s="150"/>
      <c r="E454" s="151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</row>
    <row r="455">
      <c r="A455" s="148"/>
      <c r="B455" s="133"/>
      <c r="C455" s="149"/>
      <c r="D455" s="150"/>
      <c r="E455" s="151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</row>
    <row r="456">
      <c r="A456" s="148"/>
      <c r="B456" s="133"/>
      <c r="C456" s="149"/>
      <c r="D456" s="150"/>
      <c r="E456" s="151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</row>
    <row r="457">
      <c r="A457" s="148"/>
      <c r="B457" s="133"/>
      <c r="C457" s="149"/>
      <c r="D457" s="150"/>
      <c r="E457" s="151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</row>
    <row r="458">
      <c r="A458" s="148"/>
      <c r="B458" s="133"/>
      <c r="C458" s="149"/>
      <c r="D458" s="150"/>
      <c r="E458" s="151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</row>
    <row r="459">
      <c r="A459" s="148"/>
      <c r="B459" s="133"/>
      <c r="C459" s="149"/>
      <c r="D459" s="150"/>
      <c r="E459" s="151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</row>
    <row r="460">
      <c r="A460" s="148"/>
      <c r="B460" s="133"/>
      <c r="C460" s="149"/>
      <c r="D460" s="150"/>
      <c r="E460" s="151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</row>
    <row r="461">
      <c r="A461" s="148"/>
      <c r="B461" s="133"/>
      <c r="C461" s="149"/>
      <c r="D461" s="150"/>
      <c r="E461" s="151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</row>
    <row r="462">
      <c r="A462" s="148"/>
      <c r="B462" s="133"/>
      <c r="C462" s="149"/>
      <c r="D462" s="150"/>
      <c r="E462" s="151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</row>
    <row r="463">
      <c r="A463" s="148"/>
      <c r="B463" s="133"/>
      <c r="C463" s="149"/>
      <c r="D463" s="150"/>
      <c r="E463" s="151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</row>
    <row r="464">
      <c r="A464" s="148"/>
      <c r="B464" s="133"/>
      <c r="C464" s="149"/>
      <c r="D464" s="150"/>
      <c r="E464" s="151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</row>
    <row r="465">
      <c r="A465" s="148"/>
      <c r="B465" s="133"/>
      <c r="C465" s="149"/>
      <c r="D465" s="150"/>
      <c r="E465" s="151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</row>
    <row r="466">
      <c r="A466" s="148"/>
      <c r="B466" s="133"/>
      <c r="C466" s="149"/>
      <c r="D466" s="150"/>
      <c r="E466" s="151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</row>
    <row r="467">
      <c r="A467" s="148"/>
      <c r="B467" s="133"/>
      <c r="C467" s="149"/>
      <c r="D467" s="150"/>
      <c r="E467" s="151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</row>
    <row r="468">
      <c r="A468" s="148"/>
      <c r="B468" s="133"/>
      <c r="C468" s="149"/>
      <c r="D468" s="150"/>
      <c r="E468" s="151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</row>
    <row r="469">
      <c r="A469" s="148"/>
      <c r="B469" s="133"/>
      <c r="C469" s="149"/>
      <c r="D469" s="150"/>
      <c r="E469" s="151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</row>
    <row r="470">
      <c r="A470" s="148"/>
      <c r="B470" s="133"/>
      <c r="C470" s="149"/>
      <c r="D470" s="150"/>
      <c r="E470" s="151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</row>
    <row r="471">
      <c r="A471" s="148"/>
      <c r="B471" s="133"/>
      <c r="C471" s="149"/>
      <c r="D471" s="150"/>
      <c r="E471" s="151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</row>
    <row r="472">
      <c r="A472" s="148"/>
      <c r="B472" s="133"/>
      <c r="C472" s="149"/>
      <c r="D472" s="150"/>
      <c r="E472" s="151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</row>
    <row r="473">
      <c r="A473" s="148"/>
      <c r="B473" s="133"/>
      <c r="C473" s="149"/>
      <c r="D473" s="150"/>
      <c r="E473" s="151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</row>
    <row r="474">
      <c r="A474" s="148"/>
      <c r="B474" s="133"/>
      <c r="C474" s="149"/>
      <c r="D474" s="150"/>
      <c r="E474" s="151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</row>
    <row r="475">
      <c r="A475" s="148"/>
      <c r="B475" s="133"/>
      <c r="C475" s="149"/>
      <c r="D475" s="150"/>
      <c r="E475" s="151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</row>
    <row r="476">
      <c r="A476" s="148"/>
      <c r="B476" s="133"/>
      <c r="C476" s="149"/>
      <c r="D476" s="150"/>
      <c r="E476" s="151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</row>
    <row r="477">
      <c r="A477" s="148"/>
      <c r="B477" s="133"/>
      <c r="C477" s="149"/>
      <c r="D477" s="150"/>
      <c r="E477" s="151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</row>
    <row r="478">
      <c r="A478" s="148"/>
      <c r="B478" s="133"/>
      <c r="C478" s="149"/>
      <c r="D478" s="150"/>
      <c r="E478" s="151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</row>
    <row r="479">
      <c r="A479" s="148"/>
      <c r="B479" s="133"/>
      <c r="C479" s="149"/>
      <c r="D479" s="150"/>
      <c r="E479" s="151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</row>
    <row r="480">
      <c r="A480" s="148"/>
      <c r="B480" s="133"/>
      <c r="C480" s="149"/>
      <c r="D480" s="150"/>
      <c r="E480" s="151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</row>
    <row r="481">
      <c r="A481" s="148"/>
      <c r="B481" s="133"/>
      <c r="C481" s="149"/>
      <c r="D481" s="150"/>
      <c r="E481" s="151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</row>
    <row r="482">
      <c r="A482" s="148"/>
      <c r="B482" s="133"/>
      <c r="C482" s="149"/>
      <c r="D482" s="150"/>
      <c r="E482" s="151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</row>
    <row r="483">
      <c r="A483" s="148"/>
      <c r="B483" s="133"/>
      <c r="C483" s="149"/>
      <c r="D483" s="150"/>
      <c r="E483" s="151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</row>
    <row r="484">
      <c r="A484" s="148"/>
      <c r="B484" s="133"/>
      <c r="C484" s="149"/>
      <c r="D484" s="150"/>
      <c r="E484" s="151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</row>
    <row r="485">
      <c r="A485" s="148"/>
      <c r="B485" s="133"/>
      <c r="C485" s="149"/>
      <c r="D485" s="150"/>
      <c r="E485" s="151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</row>
    <row r="486">
      <c r="A486" s="148"/>
      <c r="B486" s="133"/>
      <c r="C486" s="149"/>
      <c r="D486" s="150"/>
      <c r="E486" s="151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</row>
    <row r="487">
      <c r="A487" s="148"/>
      <c r="B487" s="133"/>
      <c r="C487" s="149"/>
      <c r="D487" s="150"/>
      <c r="E487" s="151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</row>
    <row r="488">
      <c r="A488" s="148"/>
      <c r="B488" s="133"/>
      <c r="C488" s="149"/>
      <c r="D488" s="150"/>
      <c r="E488" s="151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</row>
    <row r="489">
      <c r="A489" s="148"/>
      <c r="B489" s="133"/>
      <c r="C489" s="149"/>
      <c r="D489" s="150"/>
      <c r="E489" s="151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</row>
    <row r="490">
      <c r="A490" s="148"/>
      <c r="B490" s="133"/>
      <c r="C490" s="149"/>
      <c r="D490" s="150"/>
      <c r="E490" s="151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</row>
    <row r="491">
      <c r="A491" s="148"/>
      <c r="B491" s="133"/>
      <c r="C491" s="149"/>
      <c r="D491" s="150"/>
      <c r="E491" s="151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</row>
    <row r="492">
      <c r="A492" s="148"/>
      <c r="B492" s="133"/>
      <c r="C492" s="149"/>
      <c r="D492" s="150"/>
      <c r="E492" s="151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</row>
    <row r="493">
      <c r="A493" s="148"/>
      <c r="B493" s="133"/>
      <c r="C493" s="149"/>
      <c r="D493" s="150"/>
      <c r="E493" s="151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</row>
    <row r="494">
      <c r="A494" s="148"/>
      <c r="B494" s="133"/>
      <c r="C494" s="149"/>
      <c r="D494" s="150"/>
      <c r="E494" s="151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</row>
    <row r="495">
      <c r="A495" s="148"/>
      <c r="B495" s="133"/>
      <c r="C495" s="149"/>
      <c r="D495" s="150"/>
      <c r="E495" s="151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</row>
    <row r="496">
      <c r="A496" s="148"/>
      <c r="B496" s="133"/>
      <c r="C496" s="149"/>
      <c r="D496" s="150"/>
      <c r="E496" s="151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</row>
    <row r="497">
      <c r="A497" s="148"/>
      <c r="B497" s="133"/>
      <c r="C497" s="149"/>
      <c r="D497" s="150"/>
      <c r="E497" s="151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</row>
    <row r="498">
      <c r="A498" s="148"/>
      <c r="B498" s="133"/>
      <c r="C498" s="149"/>
      <c r="D498" s="150"/>
      <c r="E498" s="151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</row>
    <row r="499">
      <c r="A499" s="148"/>
      <c r="B499" s="133"/>
      <c r="C499" s="149"/>
      <c r="D499" s="150"/>
      <c r="E499" s="151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</row>
    <row r="500">
      <c r="A500" s="148"/>
      <c r="B500" s="133"/>
      <c r="C500" s="149"/>
      <c r="D500" s="150"/>
      <c r="E500" s="151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</row>
    <row r="501">
      <c r="A501" s="148"/>
      <c r="B501" s="133"/>
      <c r="C501" s="149"/>
      <c r="D501" s="150"/>
      <c r="E501" s="151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</row>
    <row r="502">
      <c r="A502" s="148"/>
      <c r="B502" s="133"/>
      <c r="C502" s="149"/>
      <c r="D502" s="150"/>
      <c r="E502" s="151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</row>
    <row r="503">
      <c r="A503" s="148"/>
      <c r="B503" s="133"/>
      <c r="C503" s="149"/>
      <c r="D503" s="150"/>
      <c r="E503" s="151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</row>
    <row r="504">
      <c r="A504" s="148"/>
      <c r="B504" s="133"/>
      <c r="C504" s="149"/>
      <c r="D504" s="150"/>
      <c r="E504" s="151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</row>
    <row r="505">
      <c r="A505" s="148"/>
      <c r="B505" s="133"/>
      <c r="C505" s="149"/>
      <c r="D505" s="150"/>
      <c r="E505" s="151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</row>
    <row r="506">
      <c r="A506" s="148"/>
      <c r="B506" s="133"/>
      <c r="C506" s="149"/>
      <c r="D506" s="150"/>
      <c r="E506" s="151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</row>
    <row r="507">
      <c r="A507" s="148"/>
      <c r="B507" s="133"/>
      <c r="C507" s="149"/>
      <c r="D507" s="150"/>
      <c r="E507" s="151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</row>
    <row r="508">
      <c r="A508" s="148"/>
      <c r="B508" s="133"/>
      <c r="C508" s="149"/>
      <c r="D508" s="150"/>
      <c r="E508" s="151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</row>
    <row r="509">
      <c r="A509" s="148"/>
      <c r="B509" s="133"/>
      <c r="C509" s="149"/>
      <c r="D509" s="150"/>
      <c r="E509" s="151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</row>
    <row r="510">
      <c r="A510" s="148"/>
      <c r="B510" s="133"/>
      <c r="C510" s="149"/>
      <c r="D510" s="150"/>
      <c r="E510" s="151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</row>
    <row r="511">
      <c r="A511" s="148"/>
      <c r="B511" s="133"/>
      <c r="C511" s="149"/>
      <c r="D511" s="150"/>
      <c r="E511" s="151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</row>
    <row r="512">
      <c r="A512" s="148"/>
      <c r="B512" s="133"/>
      <c r="C512" s="149"/>
      <c r="D512" s="150"/>
      <c r="E512" s="151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</row>
    <row r="513">
      <c r="A513" s="148"/>
      <c r="B513" s="133"/>
      <c r="C513" s="149"/>
      <c r="D513" s="150"/>
      <c r="E513" s="151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</row>
    <row r="514">
      <c r="A514" s="148"/>
      <c r="B514" s="133"/>
      <c r="C514" s="149"/>
      <c r="D514" s="150"/>
      <c r="E514" s="151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</row>
    <row r="515">
      <c r="A515" s="148"/>
      <c r="B515" s="133"/>
      <c r="C515" s="149"/>
      <c r="D515" s="150"/>
      <c r="E515" s="151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</row>
    <row r="516">
      <c r="A516" s="148"/>
      <c r="B516" s="133"/>
      <c r="C516" s="149"/>
      <c r="D516" s="150"/>
      <c r="E516" s="151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</row>
    <row r="517">
      <c r="A517" s="148"/>
      <c r="B517" s="133"/>
      <c r="C517" s="149"/>
      <c r="D517" s="150"/>
      <c r="E517" s="151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</row>
    <row r="518">
      <c r="A518" s="148"/>
      <c r="B518" s="133"/>
      <c r="C518" s="149"/>
      <c r="D518" s="150"/>
      <c r="E518" s="151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</row>
    <row r="519">
      <c r="A519" s="148"/>
      <c r="B519" s="133"/>
      <c r="C519" s="149"/>
      <c r="D519" s="150"/>
      <c r="E519" s="151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</row>
    <row r="520">
      <c r="A520" s="148"/>
      <c r="B520" s="133"/>
      <c r="C520" s="149"/>
      <c r="D520" s="150"/>
      <c r="E520" s="151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</row>
    <row r="521">
      <c r="A521" s="148"/>
      <c r="B521" s="133"/>
      <c r="C521" s="149"/>
      <c r="D521" s="150"/>
      <c r="E521" s="151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</row>
    <row r="522">
      <c r="A522" s="148"/>
      <c r="B522" s="133"/>
      <c r="C522" s="149"/>
      <c r="D522" s="150"/>
      <c r="E522" s="151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</row>
    <row r="523">
      <c r="A523" s="148"/>
      <c r="B523" s="133"/>
      <c r="C523" s="149"/>
      <c r="D523" s="150"/>
      <c r="E523" s="151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</row>
    <row r="524">
      <c r="A524" s="148"/>
      <c r="B524" s="133"/>
      <c r="C524" s="149"/>
      <c r="D524" s="150"/>
      <c r="E524" s="151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</row>
    <row r="525">
      <c r="A525" s="148"/>
      <c r="B525" s="133"/>
      <c r="C525" s="149"/>
      <c r="D525" s="150"/>
      <c r="E525" s="151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</row>
    <row r="526">
      <c r="A526" s="148"/>
      <c r="B526" s="133"/>
      <c r="C526" s="149"/>
      <c r="D526" s="150"/>
      <c r="E526" s="151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</row>
    <row r="527">
      <c r="A527" s="148"/>
      <c r="B527" s="133"/>
      <c r="C527" s="149"/>
      <c r="D527" s="150"/>
      <c r="E527" s="151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</row>
    <row r="528">
      <c r="A528" s="148"/>
      <c r="B528" s="133"/>
      <c r="C528" s="149"/>
      <c r="D528" s="150"/>
      <c r="E528" s="151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</row>
    <row r="529">
      <c r="A529" s="148"/>
      <c r="B529" s="133"/>
      <c r="C529" s="149"/>
      <c r="D529" s="150"/>
      <c r="E529" s="151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</row>
    <row r="530">
      <c r="A530" s="148"/>
      <c r="B530" s="133"/>
      <c r="C530" s="149"/>
      <c r="D530" s="150"/>
      <c r="E530" s="151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</row>
    <row r="531">
      <c r="A531" s="148"/>
      <c r="B531" s="133"/>
      <c r="C531" s="149"/>
      <c r="D531" s="150"/>
      <c r="E531" s="151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</row>
    <row r="532">
      <c r="A532" s="148"/>
      <c r="B532" s="133"/>
      <c r="C532" s="149"/>
      <c r="D532" s="150"/>
      <c r="E532" s="151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</row>
    <row r="533">
      <c r="A533" s="148"/>
      <c r="B533" s="133"/>
      <c r="C533" s="149"/>
      <c r="D533" s="150"/>
      <c r="E533" s="151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</row>
    <row r="534">
      <c r="A534" s="148"/>
      <c r="B534" s="133"/>
      <c r="C534" s="149"/>
      <c r="D534" s="150"/>
      <c r="E534" s="151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</row>
    <row r="535">
      <c r="A535" s="148"/>
      <c r="B535" s="133"/>
      <c r="C535" s="149"/>
      <c r="D535" s="150"/>
      <c r="E535" s="151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</row>
    <row r="536">
      <c r="A536" s="148"/>
      <c r="B536" s="133"/>
      <c r="C536" s="149"/>
      <c r="D536" s="150"/>
      <c r="E536" s="151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</row>
    <row r="537">
      <c r="A537" s="148"/>
      <c r="B537" s="133"/>
      <c r="C537" s="149"/>
      <c r="D537" s="150"/>
      <c r="E537" s="151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</row>
    <row r="538">
      <c r="A538" s="148"/>
      <c r="B538" s="133"/>
      <c r="C538" s="149"/>
      <c r="D538" s="150"/>
      <c r="E538" s="151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</row>
    <row r="539">
      <c r="A539" s="148"/>
      <c r="B539" s="133"/>
      <c r="C539" s="149"/>
      <c r="D539" s="150"/>
      <c r="E539" s="151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</row>
    <row r="540">
      <c r="A540" s="148"/>
      <c r="B540" s="133"/>
      <c r="C540" s="149"/>
      <c r="D540" s="150"/>
      <c r="E540" s="151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</row>
    <row r="541">
      <c r="A541" s="148"/>
      <c r="B541" s="133"/>
      <c r="C541" s="149"/>
      <c r="D541" s="150"/>
      <c r="E541" s="151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</row>
    <row r="542">
      <c r="A542" s="148"/>
      <c r="B542" s="133"/>
      <c r="C542" s="149"/>
      <c r="D542" s="150"/>
      <c r="E542" s="151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</row>
    <row r="543">
      <c r="A543" s="148"/>
      <c r="B543" s="133"/>
      <c r="C543" s="149"/>
      <c r="D543" s="150"/>
      <c r="E543" s="151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</row>
    <row r="544">
      <c r="A544" s="148"/>
      <c r="B544" s="133"/>
      <c r="C544" s="149"/>
      <c r="D544" s="150"/>
      <c r="E544" s="151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</row>
    <row r="545">
      <c r="A545" s="148"/>
      <c r="B545" s="133"/>
      <c r="C545" s="149"/>
      <c r="D545" s="150"/>
      <c r="E545" s="151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</row>
    <row r="546">
      <c r="A546" s="148"/>
      <c r="B546" s="133"/>
      <c r="C546" s="149"/>
      <c r="D546" s="150"/>
      <c r="E546" s="151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</row>
    <row r="547">
      <c r="A547" s="148"/>
      <c r="B547" s="133"/>
      <c r="C547" s="149"/>
      <c r="D547" s="150"/>
      <c r="E547" s="151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</row>
    <row r="548">
      <c r="A548" s="148"/>
      <c r="B548" s="133"/>
      <c r="C548" s="149"/>
      <c r="D548" s="150"/>
      <c r="E548" s="151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</row>
    <row r="549">
      <c r="A549" s="148"/>
      <c r="B549" s="133"/>
      <c r="C549" s="149"/>
      <c r="D549" s="150"/>
      <c r="E549" s="151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</row>
    <row r="550">
      <c r="A550" s="148"/>
      <c r="B550" s="133"/>
      <c r="C550" s="149"/>
      <c r="D550" s="150"/>
      <c r="E550" s="151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</row>
    <row r="551">
      <c r="A551" s="148"/>
      <c r="B551" s="133"/>
      <c r="C551" s="149"/>
      <c r="D551" s="150"/>
      <c r="E551" s="151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</row>
    <row r="552">
      <c r="A552" s="148"/>
      <c r="B552" s="133"/>
      <c r="C552" s="149"/>
      <c r="D552" s="150"/>
      <c r="E552" s="151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</row>
    <row r="553">
      <c r="A553" s="148"/>
      <c r="B553" s="133"/>
      <c r="C553" s="149"/>
      <c r="D553" s="150"/>
      <c r="E553" s="151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</row>
    <row r="554">
      <c r="A554" s="148"/>
      <c r="B554" s="133"/>
      <c r="C554" s="149"/>
      <c r="D554" s="150"/>
      <c r="E554" s="151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</row>
    <row r="555">
      <c r="A555" s="148"/>
      <c r="B555" s="133"/>
      <c r="C555" s="149"/>
      <c r="D555" s="150"/>
      <c r="E555" s="151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</row>
    <row r="556">
      <c r="A556" s="148"/>
      <c r="B556" s="133"/>
      <c r="C556" s="149"/>
      <c r="D556" s="150"/>
      <c r="E556" s="151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</row>
    <row r="557">
      <c r="A557" s="148"/>
      <c r="B557" s="133"/>
      <c r="C557" s="149"/>
      <c r="D557" s="150"/>
      <c r="E557" s="151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</row>
    <row r="558">
      <c r="A558" s="148"/>
      <c r="B558" s="133"/>
      <c r="C558" s="149"/>
      <c r="D558" s="150"/>
      <c r="E558" s="151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</row>
    <row r="559">
      <c r="A559" s="148"/>
      <c r="B559" s="133"/>
      <c r="C559" s="149"/>
      <c r="D559" s="150"/>
      <c r="E559" s="151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</row>
    <row r="560">
      <c r="A560" s="148"/>
      <c r="B560" s="133"/>
      <c r="C560" s="149"/>
      <c r="D560" s="150"/>
      <c r="E560" s="151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</row>
    <row r="561">
      <c r="A561" s="148"/>
      <c r="B561" s="133"/>
      <c r="C561" s="149"/>
      <c r="D561" s="150"/>
      <c r="E561" s="151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</row>
    <row r="562">
      <c r="A562" s="148"/>
      <c r="B562" s="133"/>
      <c r="C562" s="149"/>
      <c r="D562" s="150"/>
      <c r="E562" s="151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</row>
    <row r="563">
      <c r="A563" s="148"/>
      <c r="B563" s="133"/>
      <c r="C563" s="149"/>
      <c r="D563" s="150"/>
      <c r="E563" s="151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</row>
    <row r="564">
      <c r="A564" s="148"/>
      <c r="B564" s="133"/>
      <c r="C564" s="149"/>
      <c r="D564" s="150"/>
      <c r="E564" s="151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</row>
    <row r="565">
      <c r="A565" s="148"/>
      <c r="B565" s="133"/>
      <c r="C565" s="149"/>
      <c r="D565" s="150"/>
      <c r="E565" s="151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</row>
    <row r="566">
      <c r="A566" s="148"/>
      <c r="B566" s="133"/>
      <c r="C566" s="149"/>
      <c r="D566" s="150"/>
      <c r="E566" s="151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</row>
    <row r="567">
      <c r="A567" s="148"/>
      <c r="B567" s="133"/>
      <c r="C567" s="149"/>
      <c r="D567" s="150"/>
      <c r="E567" s="151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</row>
    <row r="568">
      <c r="A568" s="148"/>
      <c r="B568" s="133"/>
      <c r="C568" s="149"/>
      <c r="D568" s="150"/>
      <c r="E568" s="151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</row>
    <row r="569">
      <c r="A569" s="148"/>
      <c r="B569" s="133"/>
      <c r="C569" s="149"/>
      <c r="D569" s="150"/>
      <c r="E569" s="151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</row>
    <row r="570">
      <c r="A570" s="148"/>
      <c r="B570" s="133"/>
      <c r="C570" s="149"/>
      <c r="D570" s="150"/>
      <c r="E570" s="151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</row>
    <row r="571">
      <c r="A571" s="148"/>
      <c r="B571" s="133"/>
      <c r="C571" s="149"/>
      <c r="D571" s="150"/>
      <c r="E571" s="151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</row>
    <row r="572">
      <c r="A572" s="148"/>
      <c r="B572" s="133"/>
      <c r="C572" s="149"/>
      <c r="D572" s="150"/>
      <c r="E572" s="151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</row>
    <row r="573">
      <c r="A573" s="148"/>
      <c r="B573" s="133"/>
      <c r="C573" s="149"/>
      <c r="D573" s="150"/>
      <c r="E573" s="151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</row>
    <row r="574">
      <c r="A574" s="148"/>
      <c r="B574" s="133"/>
      <c r="C574" s="149"/>
      <c r="D574" s="150"/>
      <c r="E574" s="151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</row>
    <row r="575">
      <c r="A575" s="148"/>
      <c r="B575" s="133"/>
      <c r="C575" s="149"/>
      <c r="D575" s="150"/>
      <c r="E575" s="151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</row>
    <row r="576">
      <c r="A576" s="148"/>
      <c r="B576" s="133"/>
      <c r="C576" s="149"/>
      <c r="D576" s="150"/>
      <c r="E576" s="151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</row>
    <row r="577">
      <c r="A577" s="148"/>
      <c r="B577" s="133"/>
      <c r="C577" s="149"/>
      <c r="D577" s="150"/>
      <c r="E577" s="151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</row>
    <row r="578">
      <c r="A578" s="148"/>
      <c r="B578" s="133"/>
      <c r="C578" s="149"/>
      <c r="D578" s="150"/>
      <c r="E578" s="151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</row>
    <row r="579">
      <c r="A579" s="148"/>
      <c r="B579" s="133"/>
      <c r="C579" s="149"/>
      <c r="D579" s="150"/>
      <c r="E579" s="151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</row>
    <row r="580">
      <c r="A580" s="148"/>
      <c r="B580" s="133"/>
      <c r="C580" s="149"/>
      <c r="D580" s="150"/>
      <c r="E580" s="151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</row>
    <row r="581">
      <c r="A581" s="148"/>
      <c r="B581" s="133"/>
      <c r="C581" s="149"/>
      <c r="D581" s="150"/>
      <c r="E581" s="151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</row>
    <row r="582">
      <c r="A582" s="148"/>
      <c r="B582" s="133"/>
      <c r="C582" s="149"/>
      <c r="D582" s="150"/>
      <c r="E582" s="151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</row>
    <row r="583">
      <c r="A583" s="148"/>
      <c r="B583" s="133"/>
      <c r="C583" s="149"/>
      <c r="D583" s="150"/>
      <c r="E583" s="151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</row>
    <row r="584">
      <c r="A584" s="148"/>
      <c r="B584" s="133"/>
      <c r="C584" s="149"/>
      <c r="D584" s="150"/>
      <c r="E584" s="151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</row>
    <row r="585">
      <c r="A585" s="148"/>
      <c r="B585" s="133"/>
      <c r="C585" s="149"/>
      <c r="D585" s="150"/>
      <c r="E585" s="151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</row>
    <row r="586">
      <c r="A586" s="148"/>
      <c r="B586" s="133"/>
      <c r="C586" s="149"/>
      <c r="D586" s="150"/>
      <c r="E586" s="151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</row>
    <row r="587">
      <c r="A587" s="148"/>
      <c r="B587" s="133"/>
      <c r="C587" s="149"/>
      <c r="D587" s="150"/>
      <c r="E587" s="151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</row>
    <row r="588">
      <c r="A588" s="148"/>
      <c r="B588" s="133"/>
      <c r="C588" s="149"/>
      <c r="D588" s="150"/>
      <c r="E588" s="151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</row>
    <row r="589">
      <c r="A589" s="148"/>
      <c r="B589" s="133"/>
      <c r="C589" s="149"/>
      <c r="D589" s="150"/>
      <c r="E589" s="151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</row>
    <row r="590">
      <c r="A590" s="148"/>
      <c r="B590" s="133"/>
      <c r="C590" s="149"/>
      <c r="D590" s="150"/>
      <c r="E590" s="151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</row>
    <row r="591">
      <c r="A591" s="148"/>
      <c r="B591" s="133"/>
      <c r="C591" s="149"/>
      <c r="D591" s="150"/>
      <c r="E591" s="151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</row>
    <row r="592">
      <c r="A592" s="148"/>
      <c r="B592" s="133"/>
      <c r="C592" s="149"/>
      <c r="D592" s="150"/>
      <c r="E592" s="151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</row>
    <row r="593">
      <c r="A593" s="148"/>
      <c r="B593" s="133"/>
      <c r="C593" s="149"/>
      <c r="D593" s="150"/>
      <c r="E593" s="151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</row>
    <row r="594">
      <c r="A594" s="148"/>
      <c r="B594" s="133"/>
      <c r="C594" s="149"/>
      <c r="D594" s="150"/>
      <c r="E594" s="151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</row>
    <row r="595">
      <c r="A595" s="148"/>
      <c r="B595" s="133"/>
      <c r="C595" s="149"/>
      <c r="D595" s="150"/>
      <c r="E595" s="151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</row>
    <row r="596">
      <c r="A596" s="148"/>
      <c r="B596" s="133"/>
      <c r="C596" s="149"/>
      <c r="D596" s="150"/>
      <c r="E596" s="151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</row>
    <row r="597">
      <c r="A597" s="148"/>
      <c r="B597" s="133"/>
      <c r="C597" s="149"/>
      <c r="D597" s="150"/>
      <c r="E597" s="151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</row>
    <row r="598">
      <c r="A598" s="148"/>
      <c r="B598" s="133"/>
      <c r="C598" s="149"/>
      <c r="D598" s="150"/>
      <c r="E598" s="151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</row>
    <row r="599">
      <c r="A599" s="148"/>
      <c r="B599" s="133"/>
      <c r="C599" s="149"/>
      <c r="D599" s="150"/>
      <c r="E599" s="151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</row>
    <row r="600">
      <c r="A600" s="148"/>
      <c r="B600" s="133"/>
      <c r="C600" s="149"/>
      <c r="D600" s="150"/>
      <c r="E600" s="151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</row>
    <row r="601">
      <c r="A601" s="148"/>
      <c r="B601" s="133"/>
      <c r="C601" s="149"/>
      <c r="D601" s="150"/>
      <c r="E601" s="151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</row>
    <row r="602">
      <c r="A602" s="148"/>
      <c r="B602" s="133"/>
      <c r="C602" s="149"/>
      <c r="D602" s="150"/>
      <c r="E602" s="151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</row>
    <row r="603">
      <c r="A603" s="148"/>
      <c r="B603" s="133"/>
      <c r="C603" s="149"/>
      <c r="D603" s="150"/>
      <c r="E603" s="151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</row>
    <row r="604">
      <c r="A604" s="148"/>
      <c r="B604" s="133"/>
      <c r="C604" s="149"/>
      <c r="D604" s="150"/>
      <c r="E604" s="151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</row>
    <row r="605">
      <c r="A605" s="148"/>
      <c r="B605" s="133"/>
      <c r="C605" s="149"/>
      <c r="D605" s="150"/>
      <c r="E605" s="151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</row>
    <row r="606">
      <c r="A606" s="148"/>
      <c r="B606" s="133"/>
      <c r="C606" s="149"/>
      <c r="D606" s="150"/>
      <c r="E606" s="151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</row>
    <row r="607">
      <c r="A607" s="148"/>
      <c r="B607" s="133"/>
      <c r="C607" s="149"/>
      <c r="D607" s="150"/>
      <c r="E607" s="151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</row>
    <row r="608">
      <c r="A608" s="148"/>
      <c r="B608" s="133"/>
      <c r="C608" s="149"/>
      <c r="D608" s="150"/>
      <c r="E608" s="151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</row>
    <row r="609">
      <c r="A609" s="148"/>
      <c r="B609" s="133"/>
      <c r="C609" s="149"/>
      <c r="D609" s="150"/>
      <c r="E609" s="151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</row>
    <row r="610">
      <c r="A610" s="148"/>
      <c r="B610" s="133"/>
      <c r="C610" s="149"/>
      <c r="D610" s="150"/>
      <c r="E610" s="151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</row>
    <row r="611">
      <c r="A611" s="148"/>
      <c r="B611" s="133"/>
      <c r="C611" s="149"/>
      <c r="D611" s="150"/>
      <c r="E611" s="151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</row>
    <row r="612">
      <c r="A612" s="148"/>
      <c r="B612" s="133"/>
      <c r="C612" s="149"/>
      <c r="D612" s="150"/>
      <c r="E612" s="151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</row>
    <row r="613">
      <c r="A613" s="148"/>
      <c r="B613" s="133"/>
      <c r="C613" s="149"/>
      <c r="D613" s="150"/>
      <c r="E613" s="151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</row>
    <row r="614">
      <c r="A614" s="148"/>
      <c r="B614" s="133"/>
      <c r="C614" s="149"/>
      <c r="D614" s="150"/>
      <c r="E614" s="151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</row>
    <row r="615">
      <c r="A615" s="148"/>
      <c r="B615" s="133"/>
      <c r="C615" s="149"/>
      <c r="D615" s="150"/>
      <c r="E615" s="151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</row>
    <row r="616">
      <c r="A616" s="148"/>
      <c r="B616" s="133"/>
      <c r="C616" s="149"/>
      <c r="D616" s="150"/>
      <c r="E616" s="151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</row>
    <row r="617">
      <c r="A617" s="148"/>
      <c r="B617" s="133"/>
      <c r="C617" s="149"/>
      <c r="D617" s="150"/>
      <c r="E617" s="151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</row>
    <row r="618">
      <c r="A618" s="148"/>
      <c r="B618" s="133"/>
      <c r="C618" s="149"/>
      <c r="D618" s="150"/>
      <c r="E618" s="151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</row>
    <row r="619">
      <c r="A619" s="148"/>
      <c r="B619" s="133"/>
      <c r="C619" s="149"/>
      <c r="D619" s="150"/>
      <c r="E619" s="151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</row>
    <row r="620">
      <c r="A620" s="148"/>
      <c r="B620" s="133"/>
      <c r="C620" s="149"/>
      <c r="D620" s="150"/>
      <c r="E620" s="151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</row>
    <row r="621">
      <c r="A621" s="148"/>
      <c r="B621" s="133"/>
      <c r="C621" s="149"/>
      <c r="D621" s="150"/>
      <c r="E621" s="151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</row>
    <row r="622">
      <c r="A622" s="148"/>
      <c r="B622" s="133"/>
      <c r="C622" s="149"/>
      <c r="D622" s="150"/>
      <c r="E622" s="151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</row>
    <row r="623">
      <c r="A623" s="148"/>
      <c r="B623" s="133"/>
      <c r="C623" s="149"/>
      <c r="D623" s="150"/>
      <c r="E623" s="151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</row>
    <row r="624">
      <c r="A624" s="148"/>
      <c r="B624" s="133"/>
      <c r="C624" s="149"/>
      <c r="D624" s="150"/>
      <c r="E624" s="151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</row>
    <row r="625">
      <c r="A625" s="148"/>
      <c r="B625" s="133"/>
      <c r="C625" s="149"/>
      <c r="D625" s="150"/>
      <c r="E625" s="151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</row>
    <row r="626">
      <c r="A626" s="148"/>
      <c r="B626" s="133"/>
      <c r="C626" s="149"/>
      <c r="D626" s="150"/>
      <c r="E626" s="151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</row>
    <row r="627">
      <c r="A627" s="148"/>
      <c r="B627" s="133"/>
      <c r="C627" s="149"/>
      <c r="D627" s="150"/>
      <c r="E627" s="151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</row>
    <row r="628">
      <c r="A628" s="148"/>
      <c r="B628" s="133"/>
      <c r="C628" s="149"/>
      <c r="D628" s="150"/>
      <c r="E628" s="151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</row>
    <row r="629">
      <c r="A629" s="148"/>
      <c r="B629" s="133"/>
      <c r="C629" s="149"/>
      <c r="D629" s="150"/>
      <c r="E629" s="151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</row>
    <row r="630">
      <c r="A630" s="148"/>
      <c r="B630" s="133"/>
      <c r="C630" s="149"/>
      <c r="D630" s="150"/>
      <c r="E630" s="151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</row>
    <row r="631">
      <c r="A631" s="148"/>
      <c r="B631" s="133"/>
      <c r="C631" s="149"/>
      <c r="D631" s="150"/>
      <c r="E631" s="151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</row>
    <row r="632">
      <c r="A632" s="148"/>
      <c r="B632" s="133"/>
      <c r="C632" s="149"/>
      <c r="D632" s="150"/>
      <c r="E632" s="151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</row>
    <row r="633">
      <c r="A633" s="148"/>
      <c r="B633" s="133"/>
      <c r="C633" s="149"/>
      <c r="D633" s="150"/>
      <c r="E633" s="151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</row>
    <row r="634">
      <c r="A634" s="148"/>
      <c r="B634" s="133"/>
      <c r="C634" s="149"/>
      <c r="D634" s="150"/>
      <c r="E634" s="151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</row>
    <row r="635">
      <c r="A635" s="148"/>
      <c r="B635" s="133"/>
      <c r="C635" s="149"/>
      <c r="D635" s="150"/>
      <c r="E635" s="151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</row>
    <row r="636">
      <c r="A636" s="148"/>
      <c r="B636" s="133"/>
      <c r="C636" s="149"/>
      <c r="D636" s="150"/>
      <c r="E636" s="151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</row>
    <row r="637">
      <c r="A637" s="148"/>
      <c r="B637" s="133"/>
      <c r="C637" s="149"/>
      <c r="D637" s="150"/>
      <c r="E637" s="151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</row>
    <row r="638">
      <c r="A638" s="148"/>
      <c r="B638" s="133"/>
      <c r="C638" s="149"/>
      <c r="D638" s="150"/>
      <c r="E638" s="151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</row>
    <row r="639">
      <c r="A639" s="148"/>
      <c r="B639" s="133"/>
      <c r="C639" s="149"/>
      <c r="D639" s="150"/>
      <c r="E639" s="151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</row>
    <row r="640">
      <c r="A640" s="148"/>
      <c r="B640" s="133"/>
      <c r="C640" s="149"/>
      <c r="D640" s="150"/>
      <c r="E640" s="151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</row>
    <row r="641">
      <c r="A641" s="148"/>
      <c r="B641" s="133"/>
      <c r="C641" s="149"/>
      <c r="D641" s="150"/>
      <c r="E641" s="151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</row>
    <row r="642">
      <c r="A642" s="148"/>
      <c r="B642" s="133"/>
      <c r="C642" s="149"/>
      <c r="D642" s="150"/>
      <c r="E642" s="151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</row>
    <row r="643">
      <c r="A643" s="148"/>
      <c r="B643" s="133"/>
      <c r="C643" s="149"/>
      <c r="D643" s="150"/>
      <c r="E643" s="151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</row>
    <row r="644">
      <c r="A644" s="148"/>
      <c r="B644" s="133"/>
      <c r="C644" s="149"/>
      <c r="D644" s="150"/>
      <c r="E644" s="151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</row>
    <row r="645">
      <c r="A645" s="148"/>
      <c r="B645" s="133"/>
      <c r="C645" s="149"/>
      <c r="D645" s="150"/>
      <c r="E645" s="151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</row>
    <row r="646">
      <c r="A646" s="148"/>
      <c r="B646" s="133"/>
      <c r="C646" s="149"/>
      <c r="D646" s="150"/>
      <c r="E646" s="151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</row>
    <row r="647">
      <c r="A647" s="148"/>
      <c r="B647" s="133"/>
      <c r="C647" s="149"/>
      <c r="D647" s="150"/>
      <c r="E647" s="151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</row>
    <row r="648">
      <c r="A648" s="148"/>
      <c r="B648" s="133"/>
      <c r="C648" s="149"/>
      <c r="D648" s="150"/>
      <c r="E648" s="151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</row>
    <row r="649">
      <c r="A649" s="148"/>
      <c r="B649" s="133"/>
      <c r="C649" s="149"/>
      <c r="D649" s="150"/>
      <c r="E649" s="151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</row>
    <row r="650">
      <c r="A650" s="148"/>
      <c r="B650" s="133"/>
      <c r="C650" s="149"/>
      <c r="D650" s="150"/>
      <c r="E650" s="151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</row>
    <row r="651">
      <c r="A651" s="148"/>
      <c r="B651" s="133"/>
      <c r="C651" s="149"/>
      <c r="D651" s="150"/>
      <c r="E651" s="151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</row>
    <row r="652">
      <c r="A652" s="148"/>
      <c r="B652" s="133"/>
      <c r="C652" s="149"/>
      <c r="D652" s="150"/>
      <c r="E652" s="151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</row>
    <row r="653">
      <c r="A653" s="148"/>
      <c r="B653" s="133"/>
      <c r="C653" s="149"/>
      <c r="D653" s="150"/>
      <c r="E653" s="151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</row>
    <row r="654">
      <c r="A654" s="148"/>
      <c r="B654" s="133"/>
      <c r="C654" s="149"/>
      <c r="D654" s="150"/>
      <c r="E654" s="151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</row>
    <row r="655">
      <c r="A655" s="148"/>
      <c r="B655" s="133"/>
      <c r="C655" s="149"/>
      <c r="D655" s="150"/>
      <c r="E655" s="151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</row>
    <row r="656">
      <c r="A656" s="148"/>
      <c r="B656" s="133"/>
      <c r="C656" s="149"/>
      <c r="D656" s="150"/>
      <c r="E656" s="151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</row>
    <row r="657">
      <c r="A657" s="148"/>
      <c r="B657" s="133"/>
      <c r="C657" s="149"/>
      <c r="D657" s="150"/>
      <c r="E657" s="151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</row>
    <row r="658">
      <c r="A658" s="148"/>
      <c r="B658" s="133"/>
      <c r="C658" s="149"/>
      <c r="D658" s="150"/>
      <c r="E658" s="151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</row>
    <row r="659">
      <c r="A659" s="148"/>
      <c r="B659" s="133"/>
      <c r="C659" s="149"/>
      <c r="D659" s="150"/>
      <c r="E659" s="151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</row>
    <row r="660">
      <c r="A660" s="148"/>
      <c r="B660" s="133"/>
      <c r="C660" s="149"/>
      <c r="D660" s="150"/>
      <c r="E660" s="151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</row>
    <row r="661">
      <c r="A661" s="148"/>
      <c r="B661" s="133"/>
      <c r="C661" s="149"/>
      <c r="D661" s="150"/>
      <c r="E661" s="151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</row>
    <row r="662">
      <c r="A662" s="148"/>
      <c r="B662" s="133"/>
      <c r="C662" s="149"/>
      <c r="D662" s="150"/>
      <c r="E662" s="151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</row>
    <row r="663">
      <c r="A663" s="148"/>
      <c r="B663" s="133"/>
      <c r="C663" s="149"/>
      <c r="D663" s="150"/>
      <c r="E663" s="151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</row>
    <row r="664">
      <c r="A664" s="148"/>
      <c r="B664" s="133"/>
      <c r="C664" s="149"/>
      <c r="D664" s="150"/>
      <c r="E664" s="151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</row>
    <row r="665">
      <c r="A665" s="148"/>
      <c r="B665" s="133"/>
      <c r="C665" s="149"/>
      <c r="D665" s="150"/>
      <c r="E665" s="151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</row>
    <row r="666">
      <c r="A666" s="148"/>
      <c r="B666" s="133"/>
      <c r="C666" s="149"/>
      <c r="D666" s="150"/>
      <c r="E666" s="151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</row>
    <row r="667">
      <c r="A667" s="148"/>
      <c r="B667" s="133"/>
      <c r="C667" s="149"/>
      <c r="D667" s="150"/>
      <c r="E667" s="151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</row>
    <row r="668">
      <c r="A668" s="148"/>
      <c r="B668" s="133"/>
      <c r="C668" s="149"/>
      <c r="D668" s="150"/>
      <c r="E668" s="151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</row>
    <row r="669">
      <c r="A669" s="148"/>
      <c r="B669" s="133"/>
      <c r="C669" s="149"/>
      <c r="D669" s="150"/>
      <c r="E669" s="151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</row>
    <row r="670">
      <c r="A670" s="148"/>
      <c r="B670" s="133"/>
      <c r="C670" s="149"/>
      <c r="D670" s="150"/>
      <c r="E670" s="151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</row>
    <row r="671">
      <c r="A671" s="148"/>
      <c r="B671" s="133"/>
      <c r="C671" s="149"/>
      <c r="D671" s="150"/>
      <c r="E671" s="151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</row>
    <row r="672">
      <c r="A672" s="148"/>
      <c r="B672" s="133"/>
      <c r="C672" s="149"/>
      <c r="D672" s="150"/>
      <c r="E672" s="151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</row>
    <row r="673">
      <c r="A673" s="148"/>
      <c r="B673" s="133"/>
      <c r="C673" s="149"/>
      <c r="D673" s="150"/>
      <c r="E673" s="151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</row>
    <row r="674">
      <c r="A674" s="148"/>
      <c r="B674" s="133"/>
      <c r="C674" s="149"/>
      <c r="D674" s="150"/>
      <c r="E674" s="151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</row>
    <row r="675">
      <c r="A675" s="148"/>
      <c r="B675" s="133"/>
      <c r="C675" s="149"/>
      <c r="D675" s="150"/>
      <c r="E675" s="151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</row>
    <row r="676">
      <c r="A676" s="148"/>
      <c r="B676" s="133"/>
      <c r="C676" s="149"/>
      <c r="D676" s="150"/>
      <c r="E676" s="151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</row>
    <row r="677">
      <c r="A677" s="148"/>
      <c r="B677" s="133"/>
      <c r="C677" s="149"/>
      <c r="D677" s="150"/>
      <c r="E677" s="151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</row>
    <row r="678">
      <c r="A678" s="148"/>
      <c r="B678" s="133"/>
      <c r="C678" s="149"/>
      <c r="D678" s="150"/>
      <c r="E678" s="151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</row>
    <row r="679">
      <c r="A679" s="148"/>
      <c r="B679" s="133"/>
      <c r="C679" s="149"/>
      <c r="D679" s="150"/>
      <c r="E679" s="151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</row>
    <row r="680">
      <c r="A680" s="148"/>
      <c r="B680" s="133"/>
      <c r="C680" s="149"/>
      <c r="D680" s="150"/>
      <c r="E680" s="151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</row>
    <row r="681">
      <c r="A681" s="148"/>
      <c r="B681" s="133"/>
      <c r="C681" s="149"/>
      <c r="D681" s="150"/>
      <c r="E681" s="151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</row>
    <row r="682">
      <c r="A682" s="148"/>
      <c r="B682" s="133"/>
      <c r="C682" s="149"/>
      <c r="D682" s="150"/>
      <c r="E682" s="151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</row>
    <row r="683">
      <c r="A683" s="148"/>
      <c r="B683" s="133"/>
      <c r="C683" s="149"/>
      <c r="D683" s="150"/>
      <c r="E683" s="151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</row>
    <row r="684">
      <c r="A684" s="148"/>
      <c r="B684" s="133"/>
      <c r="C684" s="149"/>
      <c r="D684" s="150"/>
      <c r="E684" s="151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</row>
    <row r="685">
      <c r="A685" s="148"/>
      <c r="B685" s="133"/>
      <c r="C685" s="149"/>
      <c r="D685" s="150"/>
      <c r="E685" s="151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</row>
    <row r="686">
      <c r="A686" s="148"/>
      <c r="B686" s="133"/>
      <c r="C686" s="149"/>
      <c r="D686" s="150"/>
      <c r="E686" s="151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</row>
    <row r="687">
      <c r="A687" s="148"/>
      <c r="B687" s="133"/>
      <c r="C687" s="149"/>
      <c r="D687" s="150"/>
      <c r="E687" s="151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</row>
    <row r="688">
      <c r="A688" s="148"/>
      <c r="B688" s="133"/>
      <c r="C688" s="149"/>
      <c r="D688" s="150"/>
      <c r="E688" s="151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</row>
    <row r="689">
      <c r="A689" s="148"/>
      <c r="B689" s="133"/>
      <c r="C689" s="149"/>
      <c r="D689" s="150"/>
      <c r="E689" s="151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</row>
    <row r="690">
      <c r="A690" s="148"/>
      <c r="B690" s="133"/>
      <c r="C690" s="149"/>
      <c r="D690" s="150"/>
      <c r="E690" s="151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</row>
    <row r="691">
      <c r="A691" s="148"/>
      <c r="B691" s="133"/>
      <c r="C691" s="149"/>
      <c r="D691" s="150"/>
      <c r="E691" s="151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</row>
    <row r="692">
      <c r="A692" s="148"/>
      <c r="B692" s="133"/>
      <c r="C692" s="149"/>
      <c r="D692" s="150"/>
      <c r="E692" s="151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</row>
    <row r="693">
      <c r="A693" s="148"/>
      <c r="B693" s="133"/>
      <c r="C693" s="149"/>
      <c r="D693" s="150"/>
      <c r="E693" s="151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</row>
    <row r="694">
      <c r="A694" s="148"/>
      <c r="B694" s="133"/>
      <c r="C694" s="149"/>
      <c r="D694" s="150"/>
      <c r="E694" s="151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</row>
    <row r="695">
      <c r="A695" s="148"/>
      <c r="B695" s="133"/>
      <c r="C695" s="149"/>
      <c r="D695" s="150"/>
      <c r="E695" s="151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</row>
    <row r="696">
      <c r="A696" s="148"/>
      <c r="B696" s="133"/>
      <c r="C696" s="149"/>
      <c r="D696" s="150"/>
      <c r="E696" s="151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</row>
    <row r="697">
      <c r="A697" s="148"/>
      <c r="B697" s="133"/>
      <c r="C697" s="149"/>
      <c r="D697" s="150"/>
      <c r="E697" s="151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</row>
    <row r="698">
      <c r="A698" s="148"/>
      <c r="B698" s="133"/>
      <c r="C698" s="149"/>
      <c r="D698" s="150"/>
      <c r="E698" s="151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</row>
    <row r="699">
      <c r="A699" s="148"/>
      <c r="B699" s="133"/>
      <c r="C699" s="149"/>
      <c r="D699" s="150"/>
      <c r="E699" s="151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</row>
    <row r="700">
      <c r="A700" s="148"/>
      <c r="B700" s="133"/>
      <c r="C700" s="149"/>
      <c r="D700" s="150"/>
      <c r="E700" s="151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</row>
    <row r="701">
      <c r="A701" s="148"/>
      <c r="B701" s="133"/>
      <c r="C701" s="149"/>
      <c r="D701" s="150"/>
      <c r="E701" s="151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</row>
    <row r="702">
      <c r="A702" s="148"/>
      <c r="B702" s="133"/>
      <c r="C702" s="149"/>
      <c r="D702" s="150"/>
      <c r="E702" s="151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</row>
    <row r="703">
      <c r="A703" s="148"/>
      <c r="B703" s="133"/>
      <c r="C703" s="149"/>
      <c r="D703" s="150"/>
      <c r="E703" s="151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</row>
    <row r="704">
      <c r="A704" s="148"/>
      <c r="B704" s="133"/>
      <c r="C704" s="149"/>
      <c r="D704" s="150"/>
      <c r="E704" s="151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</row>
    <row r="705">
      <c r="A705" s="148"/>
      <c r="B705" s="133"/>
      <c r="C705" s="149"/>
      <c r="D705" s="150"/>
      <c r="E705" s="151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</row>
    <row r="706">
      <c r="A706" s="148"/>
      <c r="B706" s="133"/>
      <c r="C706" s="149"/>
      <c r="D706" s="150"/>
      <c r="E706" s="151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</row>
    <row r="707">
      <c r="A707" s="148"/>
      <c r="B707" s="133"/>
      <c r="C707" s="149"/>
      <c r="D707" s="150"/>
      <c r="E707" s="151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</row>
    <row r="708">
      <c r="A708" s="148"/>
      <c r="B708" s="133"/>
      <c r="C708" s="149"/>
      <c r="D708" s="150"/>
      <c r="E708" s="151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</row>
    <row r="709">
      <c r="A709" s="148"/>
      <c r="B709" s="133"/>
      <c r="C709" s="149"/>
      <c r="D709" s="150"/>
      <c r="E709" s="151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</row>
    <row r="710">
      <c r="A710" s="148"/>
      <c r="B710" s="133"/>
      <c r="C710" s="149"/>
      <c r="D710" s="150"/>
      <c r="E710" s="151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</row>
    <row r="711">
      <c r="A711" s="148"/>
      <c r="B711" s="133"/>
      <c r="C711" s="149"/>
      <c r="D711" s="150"/>
      <c r="E711" s="151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</row>
    <row r="712">
      <c r="A712" s="148"/>
      <c r="B712" s="133"/>
      <c r="C712" s="149"/>
      <c r="D712" s="150"/>
      <c r="E712" s="151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</row>
    <row r="713">
      <c r="A713" s="148"/>
      <c r="B713" s="133"/>
      <c r="C713" s="149"/>
      <c r="D713" s="150"/>
      <c r="E713" s="151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</row>
    <row r="714">
      <c r="A714" s="148"/>
      <c r="B714" s="133"/>
      <c r="C714" s="149"/>
      <c r="D714" s="150"/>
      <c r="E714" s="151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</row>
    <row r="715">
      <c r="A715" s="148"/>
      <c r="B715" s="133"/>
      <c r="C715" s="149"/>
      <c r="D715" s="150"/>
      <c r="E715" s="151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</row>
    <row r="716">
      <c r="A716" s="148"/>
      <c r="B716" s="133"/>
      <c r="C716" s="149"/>
      <c r="D716" s="150"/>
      <c r="E716" s="151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</row>
    <row r="717">
      <c r="A717" s="148"/>
      <c r="B717" s="133"/>
      <c r="C717" s="149"/>
      <c r="D717" s="150"/>
      <c r="E717" s="151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</row>
    <row r="718">
      <c r="A718" s="148"/>
      <c r="B718" s="133"/>
      <c r="C718" s="149"/>
      <c r="D718" s="150"/>
      <c r="E718" s="151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</row>
    <row r="719">
      <c r="A719" s="148"/>
      <c r="B719" s="133"/>
      <c r="C719" s="149"/>
      <c r="D719" s="150"/>
      <c r="E719" s="151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</row>
    <row r="720">
      <c r="A720" s="148"/>
      <c r="B720" s="133"/>
      <c r="C720" s="149"/>
      <c r="D720" s="150"/>
      <c r="E720" s="151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</row>
    <row r="721">
      <c r="A721" s="148"/>
      <c r="B721" s="133"/>
      <c r="C721" s="149"/>
      <c r="D721" s="150"/>
      <c r="E721" s="151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</row>
    <row r="722">
      <c r="A722" s="148"/>
      <c r="B722" s="133"/>
      <c r="C722" s="149"/>
      <c r="D722" s="150"/>
      <c r="E722" s="151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</row>
    <row r="723">
      <c r="A723" s="148"/>
      <c r="B723" s="133"/>
      <c r="C723" s="149"/>
      <c r="D723" s="150"/>
      <c r="E723" s="151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</row>
    <row r="724">
      <c r="A724" s="148"/>
      <c r="B724" s="133"/>
      <c r="C724" s="149"/>
      <c r="D724" s="150"/>
      <c r="E724" s="151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</row>
    <row r="725">
      <c r="A725" s="148"/>
      <c r="B725" s="133"/>
      <c r="C725" s="149"/>
      <c r="D725" s="150"/>
      <c r="E725" s="151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</row>
    <row r="726">
      <c r="A726" s="148"/>
      <c r="B726" s="133"/>
      <c r="C726" s="149"/>
      <c r="D726" s="150"/>
      <c r="E726" s="151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</row>
    <row r="727">
      <c r="A727" s="148"/>
      <c r="B727" s="133"/>
      <c r="C727" s="149"/>
      <c r="D727" s="150"/>
      <c r="E727" s="151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</row>
    <row r="728">
      <c r="A728" s="148"/>
      <c r="B728" s="133"/>
      <c r="C728" s="149"/>
      <c r="D728" s="150"/>
      <c r="E728" s="151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</row>
    <row r="729">
      <c r="A729" s="148"/>
      <c r="B729" s="133"/>
      <c r="C729" s="149"/>
      <c r="D729" s="150"/>
      <c r="E729" s="151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</row>
    <row r="730">
      <c r="A730" s="148"/>
      <c r="B730" s="133"/>
      <c r="C730" s="149"/>
      <c r="D730" s="150"/>
      <c r="E730" s="151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</row>
    <row r="731">
      <c r="A731" s="148"/>
      <c r="B731" s="133"/>
      <c r="C731" s="149"/>
      <c r="D731" s="150"/>
      <c r="E731" s="151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</row>
    <row r="732">
      <c r="A732" s="148"/>
      <c r="B732" s="133"/>
      <c r="C732" s="149"/>
      <c r="D732" s="150"/>
      <c r="E732" s="151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</row>
    <row r="733">
      <c r="A733" s="148"/>
      <c r="B733" s="133"/>
      <c r="C733" s="149"/>
      <c r="D733" s="150"/>
      <c r="E733" s="151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</row>
    <row r="734">
      <c r="A734" s="148"/>
      <c r="B734" s="133"/>
      <c r="C734" s="149"/>
      <c r="D734" s="150"/>
      <c r="E734" s="151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</row>
    <row r="735">
      <c r="A735" s="148"/>
      <c r="B735" s="133"/>
      <c r="C735" s="149"/>
      <c r="D735" s="150"/>
      <c r="E735" s="151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</row>
    <row r="736">
      <c r="A736" s="148"/>
      <c r="B736" s="133"/>
      <c r="C736" s="149"/>
      <c r="D736" s="150"/>
      <c r="E736" s="151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</row>
    <row r="737">
      <c r="A737" s="148"/>
      <c r="B737" s="133"/>
      <c r="C737" s="149"/>
      <c r="D737" s="150"/>
      <c r="E737" s="151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</row>
    <row r="738">
      <c r="A738" s="148"/>
      <c r="B738" s="133"/>
      <c r="C738" s="149"/>
      <c r="D738" s="150"/>
      <c r="E738" s="151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</row>
    <row r="739">
      <c r="A739" s="148"/>
      <c r="B739" s="133"/>
      <c r="C739" s="149"/>
      <c r="D739" s="150"/>
      <c r="E739" s="151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</row>
    <row r="740">
      <c r="A740" s="148"/>
      <c r="B740" s="133"/>
      <c r="C740" s="149"/>
      <c r="D740" s="150"/>
      <c r="E740" s="151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</row>
    <row r="741">
      <c r="A741" s="148"/>
      <c r="B741" s="133"/>
      <c r="C741" s="149"/>
      <c r="D741" s="150"/>
      <c r="E741" s="151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</row>
    <row r="742">
      <c r="A742" s="148"/>
      <c r="B742" s="133"/>
      <c r="C742" s="149"/>
      <c r="D742" s="150"/>
      <c r="E742" s="151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</row>
    <row r="743">
      <c r="A743" s="148"/>
      <c r="B743" s="133"/>
      <c r="C743" s="149"/>
      <c r="D743" s="150"/>
      <c r="E743" s="151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</row>
    <row r="744">
      <c r="A744" s="148"/>
      <c r="B744" s="133"/>
      <c r="C744" s="149"/>
      <c r="D744" s="150"/>
      <c r="E744" s="151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</row>
    <row r="745">
      <c r="A745" s="148"/>
      <c r="B745" s="133"/>
      <c r="C745" s="149"/>
      <c r="D745" s="150"/>
      <c r="E745" s="151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</row>
    <row r="746">
      <c r="A746" s="148"/>
      <c r="B746" s="133"/>
      <c r="C746" s="149"/>
      <c r="D746" s="150"/>
      <c r="E746" s="151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</row>
    <row r="747">
      <c r="A747" s="148"/>
      <c r="B747" s="133"/>
      <c r="C747" s="149"/>
      <c r="D747" s="150"/>
      <c r="E747" s="151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</row>
    <row r="748">
      <c r="A748" s="148"/>
      <c r="B748" s="133"/>
      <c r="C748" s="149"/>
      <c r="D748" s="150"/>
      <c r="E748" s="151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</row>
    <row r="749">
      <c r="A749" s="148"/>
      <c r="B749" s="133"/>
      <c r="C749" s="149"/>
      <c r="D749" s="150"/>
      <c r="E749" s="151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</row>
    <row r="750">
      <c r="A750" s="148"/>
      <c r="B750" s="133"/>
      <c r="C750" s="149"/>
      <c r="D750" s="150"/>
      <c r="E750" s="151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</row>
    <row r="751">
      <c r="A751" s="148"/>
      <c r="B751" s="133"/>
      <c r="C751" s="149"/>
      <c r="D751" s="150"/>
      <c r="E751" s="151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</row>
    <row r="752">
      <c r="A752" s="148"/>
      <c r="B752" s="133"/>
      <c r="C752" s="149"/>
      <c r="D752" s="150"/>
      <c r="E752" s="151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</row>
    <row r="753">
      <c r="A753" s="148"/>
      <c r="B753" s="133"/>
      <c r="C753" s="149"/>
      <c r="D753" s="150"/>
      <c r="E753" s="151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</row>
    <row r="754">
      <c r="A754" s="148"/>
      <c r="B754" s="133"/>
      <c r="C754" s="149"/>
      <c r="D754" s="150"/>
      <c r="E754" s="151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</row>
    <row r="755">
      <c r="A755" s="148"/>
      <c r="B755" s="133"/>
      <c r="C755" s="149"/>
      <c r="D755" s="150"/>
      <c r="E755" s="151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</row>
    <row r="756">
      <c r="A756" s="148"/>
      <c r="B756" s="133"/>
      <c r="C756" s="149"/>
      <c r="D756" s="150"/>
      <c r="E756" s="151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</row>
    <row r="757">
      <c r="A757" s="148"/>
      <c r="B757" s="133"/>
      <c r="C757" s="149"/>
      <c r="D757" s="150"/>
      <c r="E757" s="151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</row>
    <row r="758">
      <c r="A758" s="148"/>
      <c r="B758" s="133"/>
      <c r="C758" s="149"/>
      <c r="D758" s="150"/>
      <c r="E758" s="151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</row>
    <row r="759">
      <c r="A759" s="148"/>
      <c r="B759" s="133"/>
      <c r="C759" s="149"/>
      <c r="D759" s="150"/>
      <c r="E759" s="151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</row>
    <row r="760">
      <c r="A760" s="148"/>
      <c r="B760" s="133"/>
      <c r="C760" s="149"/>
      <c r="D760" s="150"/>
      <c r="E760" s="151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</row>
    <row r="761">
      <c r="A761" s="148"/>
      <c r="B761" s="133"/>
      <c r="C761" s="149"/>
      <c r="D761" s="150"/>
      <c r="E761" s="151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</row>
    <row r="762">
      <c r="A762" s="148"/>
      <c r="B762" s="133"/>
      <c r="C762" s="149"/>
      <c r="D762" s="150"/>
      <c r="E762" s="151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</row>
    <row r="763">
      <c r="A763" s="148"/>
      <c r="B763" s="133"/>
      <c r="C763" s="149"/>
      <c r="D763" s="150"/>
      <c r="E763" s="151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</row>
    <row r="764">
      <c r="A764" s="148"/>
      <c r="B764" s="133"/>
      <c r="C764" s="149"/>
      <c r="D764" s="150"/>
      <c r="E764" s="151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</row>
    <row r="765">
      <c r="A765" s="148"/>
      <c r="B765" s="133"/>
      <c r="C765" s="149"/>
      <c r="D765" s="150"/>
      <c r="E765" s="151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</row>
    <row r="766">
      <c r="A766" s="148"/>
      <c r="B766" s="133"/>
      <c r="C766" s="149"/>
      <c r="D766" s="150"/>
      <c r="E766" s="151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</row>
    <row r="767">
      <c r="A767" s="148"/>
      <c r="B767" s="133"/>
      <c r="C767" s="149"/>
      <c r="D767" s="150"/>
      <c r="E767" s="151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</row>
    <row r="768">
      <c r="A768" s="148"/>
      <c r="B768" s="133"/>
      <c r="C768" s="149"/>
      <c r="D768" s="150"/>
      <c r="E768" s="151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</row>
    <row r="769">
      <c r="A769" s="148"/>
      <c r="B769" s="133"/>
      <c r="C769" s="149"/>
      <c r="D769" s="150"/>
      <c r="E769" s="151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</row>
    <row r="770">
      <c r="A770" s="148"/>
      <c r="B770" s="133"/>
      <c r="C770" s="149"/>
      <c r="D770" s="150"/>
      <c r="E770" s="151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</row>
    <row r="771">
      <c r="A771" s="148"/>
      <c r="B771" s="133"/>
      <c r="C771" s="149"/>
      <c r="D771" s="150"/>
      <c r="E771" s="151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</row>
    <row r="772">
      <c r="A772" s="148"/>
      <c r="B772" s="133"/>
      <c r="C772" s="149"/>
      <c r="D772" s="150"/>
      <c r="E772" s="151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</row>
    <row r="773">
      <c r="A773" s="148"/>
      <c r="B773" s="133"/>
      <c r="C773" s="149"/>
      <c r="D773" s="150"/>
      <c r="E773" s="151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</row>
    <row r="774">
      <c r="A774" s="148"/>
      <c r="B774" s="133"/>
      <c r="C774" s="149"/>
      <c r="D774" s="150"/>
      <c r="E774" s="151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</row>
    <row r="775">
      <c r="A775" s="148"/>
      <c r="B775" s="133"/>
      <c r="C775" s="149"/>
      <c r="D775" s="150"/>
      <c r="E775" s="151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</row>
    <row r="776">
      <c r="A776" s="148"/>
      <c r="B776" s="133"/>
      <c r="C776" s="149"/>
      <c r="D776" s="150"/>
      <c r="E776" s="151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</row>
    <row r="777">
      <c r="A777" s="148"/>
      <c r="B777" s="133"/>
      <c r="C777" s="149"/>
      <c r="D777" s="150"/>
      <c r="E777" s="151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</row>
    <row r="778">
      <c r="A778" s="148"/>
      <c r="B778" s="133"/>
      <c r="C778" s="149"/>
      <c r="D778" s="150"/>
      <c r="E778" s="151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</row>
    <row r="779">
      <c r="A779" s="148"/>
      <c r="B779" s="133"/>
      <c r="C779" s="149"/>
      <c r="D779" s="150"/>
      <c r="E779" s="151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</row>
    <row r="780">
      <c r="A780" s="148"/>
      <c r="B780" s="133"/>
      <c r="C780" s="149"/>
      <c r="D780" s="150"/>
      <c r="E780" s="151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</row>
    <row r="781">
      <c r="A781" s="148"/>
      <c r="B781" s="133"/>
      <c r="C781" s="149"/>
      <c r="D781" s="150"/>
      <c r="E781" s="151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</row>
    <row r="782">
      <c r="A782" s="148"/>
      <c r="B782" s="133"/>
      <c r="C782" s="149"/>
      <c r="D782" s="150"/>
      <c r="E782" s="151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</row>
    <row r="783">
      <c r="A783" s="148"/>
      <c r="B783" s="133"/>
      <c r="C783" s="149"/>
      <c r="D783" s="150"/>
      <c r="E783" s="151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</row>
    <row r="784">
      <c r="A784" s="148"/>
      <c r="B784" s="133"/>
      <c r="C784" s="149"/>
      <c r="D784" s="150"/>
      <c r="E784" s="151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</row>
    <row r="785">
      <c r="A785" s="148"/>
      <c r="B785" s="133"/>
      <c r="C785" s="149"/>
      <c r="D785" s="150"/>
      <c r="E785" s="151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</row>
    <row r="786">
      <c r="A786" s="148"/>
      <c r="B786" s="133"/>
      <c r="C786" s="149"/>
      <c r="D786" s="150"/>
      <c r="E786" s="151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</row>
    <row r="787">
      <c r="A787" s="148"/>
      <c r="B787" s="133"/>
      <c r="C787" s="149"/>
      <c r="D787" s="150"/>
      <c r="E787" s="151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</row>
    <row r="788">
      <c r="A788" s="148"/>
      <c r="B788" s="133"/>
      <c r="C788" s="149"/>
      <c r="D788" s="150"/>
      <c r="E788" s="151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</row>
    <row r="789">
      <c r="A789" s="148"/>
      <c r="B789" s="133"/>
      <c r="C789" s="149"/>
      <c r="D789" s="150"/>
      <c r="E789" s="151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</row>
    <row r="790">
      <c r="A790" s="148"/>
      <c r="B790" s="133"/>
      <c r="C790" s="149"/>
      <c r="D790" s="150"/>
      <c r="E790" s="151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</row>
    <row r="791">
      <c r="A791" s="148"/>
      <c r="B791" s="133"/>
      <c r="C791" s="149"/>
      <c r="D791" s="150"/>
      <c r="E791" s="151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</row>
    <row r="792">
      <c r="A792" s="148"/>
      <c r="B792" s="133"/>
      <c r="C792" s="149"/>
      <c r="D792" s="150"/>
      <c r="E792" s="151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</row>
    <row r="793">
      <c r="A793" s="148"/>
      <c r="B793" s="133"/>
      <c r="C793" s="149"/>
      <c r="D793" s="150"/>
      <c r="E793" s="151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</row>
    <row r="794">
      <c r="A794" s="148"/>
      <c r="B794" s="133"/>
      <c r="C794" s="149"/>
      <c r="D794" s="150"/>
      <c r="E794" s="151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</row>
    <row r="795">
      <c r="A795" s="148"/>
      <c r="B795" s="133"/>
      <c r="C795" s="149"/>
      <c r="D795" s="150"/>
      <c r="E795" s="151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</row>
    <row r="796">
      <c r="A796" s="148"/>
      <c r="B796" s="133"/>
      <c r="C796" s="149"/>
      <c r="D796" s="150"/>
      <c r="E796" s="151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</row>
    <row r="797">
      <c r="A797" s="148"/>
      <c r="B797" s="133"/>
      <c r="C797" s="149"/>
      <c r="D797" s="150"/>
      <c r="E797" s="151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</row>
    <row r="798">
      <c r="A798" s="148"/>
      <c r="B798" s="133"/>
      <c r="C798" s="149"/>
      <c r="D798" s="150"/>
      <c r="E798" s="151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</row>
    <row r="799">
      <c r="A799" s="148"/>
      <c r="B799" s="133"/>
      <c r="C799" s="149"/>
      <c r="D799" s="150"/>
      <c r="E799" s="151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</row>
    <row r="800">
      <c r="A800" s="148"/>
      <c r="B800" s="133"/>
      <c r="C800" s="149"/>
      <c r="D800" s="150"/>
      <c r="E800" s="151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</row>
    <row r="801">
      <c r="A801" s="148"/>
      <c r="B801" s="133"/>
      <c r="C801" s="149"/>
      <c r="D801" s="150"/>
      <c r="E801" s="151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</row>
    <row r="802">
      <c r="A802" s="148"/>
      <c r="B802" s="133"/>
      <c r="C802" s="149"/>
      <c r="D802" s="150"/>
      <c r="E802" s="151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</row>
    <row r="803">
      <c r="A803" s="148"/>
      <c r="B803" s="133"/>
      <c r="C803" s="149"/>
      <c r="D803" s="150"/>
      <c r="E803" s="151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</row>
    <row r="804">
      <c r="A804" s="148"/>
      <c r="B804" s="133"/>
      <c r="C804" s="149"/>
      <c r="D804" s="150"/>
      <c r="E804" s="151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</row>
    <row r="805">
      <c r="A805" s="148"/>
      <c r="B805" s="133"/>
      <c r="C805" s="149"/>
      <c r="D805" s="150"/>
      <c r="E805" s="151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</row>
    <row r="806">
      <c r="A806" s="148"/>
      <c r="B806" s="133"/>
      <c r="C806" s="149"/>
      <c r="D806" s="150"/>
      <c r="E806" s="151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</row>
    <row r="807">
      <c r="A807" s="148"/>
      <c r="B807" s="133"/>
      <c r="C807" s="149"/>
      <c r="D807" s="150"/>
      <c r="E807" s="151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</row>
    <row r="808">
      <c r="A808" s="148"/>
      <c r="B808" s="133"/>
      <c r="C808" s="149"/>
      <c r="D808" s="150"/>
      <c r="E808" s="151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</row>
    <row r="809">
      <c r="A809" s="148"/>
      <c r="B809" s="133"/>
      <c r="C809" s="149"/>
      <c r="D809" s="150"/>
      <c r="E809" s="151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</row>
    <row r="810">
      <c r="A810" s="148"/>
      <c r="B810" s="133"/>
      <c r="C810" s="149"/>
      <c r="D810" s="150"/>
      <c r="E810" s="151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</row>
    <row r="811">
      <c r="A811" s="148"/>
      <c r="B811" s="133"/>
      <c r="C811" s="149"/>
      <c r="D811" s="150"/>
      <c r="E811" s="151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</row>
    <row r="812">
      <c r="A812" s="148"/>
      <c r="B812" s="133"/>
      <c r="C812" s="149"/>
      <c r="D812" s="150"/>
      <c r="E812" s="151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</row>
    <row r="813">
      <c r="A813" s="148"/>
      <c r="B813" s="133"/>
      <c r="C813" s="149"/>
      <c r="D813" s="150"/>
      <c r="E813" s="151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</row>
    <row r="814">
      <c r="A814" s="148"/>
      <c r="B814" s="133"/>
      <c r="C814" s="149"/>
      <c r="D814" s="150"/>
      <c r="E814" s="151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</row>
    <row r="815">
      <c r="A815" s="148"/>
      <c r="B815" s="133"/>
      <c r="C815" s="149"/>
      <c r="D815" s="150"/>
      <c r="E815" s="151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</row>
    <row r="816">
      <c r="A816" s="148"/>
      <c r="B816" s="133"/>
      <c r="C816" s="149"/>
      <c r="D816" s="150"/>
      <c r="E816" s="151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</row>
    <row r="817">
      <c r="A817" s="148"/>
      <c r="B817" s="133"/>
      <c r="C817" s="149"/>
      <c r="D817" s="150"/>
      <c r="E817" s="151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</row>
    <row r="818">
      <c r="A818" s="148"/>
      <c r="B818" s="133"/>
      <c r="C818" s="149"/>
      <c r="D818" s="150"/>
      <c r="E818" s="151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</row>
    <row r="819">
      <c r="A819" s="148"/>
      <c r="B819" s="133"/>
      <c r="C819" s="149"/>
      <c r="D819" s="150"/>
      <c r="E819" s="151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</row>
    <row r="820">
      <c r="A820" s="148"/>
      <c r="B820" s="133"/>
      <c r="C820" s="149"/>
      <c r="D820" s="150"/>
      <c r="E820" s="151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</row>
    <row r="821">
      <c r="A821" s="148"/>
      <c r="B821" s="133"/>
      <c r="C821" s="149"/>
      <c r="D821" s="150"/>
      <c r="E821" s="151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</row>
    <row r="822">
      <c r="A822" s="148"/>
      <c r="B822" s="133"/>
      <c r="C822" s="149"/>
      <c r="D822" s="150"/>
      <c r="E822" s="151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</row>
    <row r="823">
      <c r="A823" s="148"/>
      <c r="B823" s="133"/>
      <c r="C823" s="149"/>
      <c r="D823" s="150"/>
      <c r="E823" s="151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</row>
    <row r="824">
      <c r="A824" s="148"/>
      <c r="B824" s="133"/>
      <c r="C824" s="149"/>
      <c r="D824" s="150"/>
      <c r="E824" s="151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</row>
    <row r="825">
      <c r="A825" s="148"/>
      <c r="B825" s="133"/>
      <c r="C825" s="149"/>
      <c r="D825" s="150"/>
      <c r="E825" s="151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</row>
    <row r="826">
      <c r="A826" s="148"/>
      <c r="B826" s="133"/>
      <c r="C826" s="149"/>
      <c r="D826" s="150"/>
      <c r="E826" s="151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</row>
    <row r="827">
      <c r="A827" s="148"/>
      <c r="B827" s="133"/>
      <c r="C827" s="149"/>
      <c r="D827" s="150"/>
      <c r="E827" s="151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</row>
    <row r="828">
      <c r="A828" s="148"/>
      <c r="B828" s="133"/>
      <c r="C828" s="149"/>
      <c r="D828" s="150"/>
      <c r="E828" s="151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</row>
    <row r="829">
      <c r="A829" s="148"/>
      <c r="B829" s="133"/>
      <c r="C829" s="149"/>
      <c r="D829" s="150"/>
      <c r="E829" s="151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</row>
    <row r="830">
      <c r="A830" s="148"/>
      <c r="B830" s="133"/>
      <c r="C830" s="149"/>
      <c r="D830" s="150"/>
      <c r="E830" s="151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</row>
    <row r="831">
      <c r="A831" s="148"/>
      <c r="B831" s="133"/>
      <c r="C831" s="149"/>
      <c r="D831" s="150"/>
      <c r="E831" s="151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</row>
    <row r="832">
      <c r="A832" s="148"/>
      <c r="B832" s="133"/>
      <c r="C832" s="149"/>
      <c r="D832" s="150"/>
      <c r="E832" s="151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</row>
    <row r="833">
      <c r="A833" s="148"/>
      <c r="B833" s="133"/>
      <c r="C833" s="149"/>
      <c r="D833" s="150"/>
      <c r="E833" s="151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</row>
    <row r="834">
      <c r="A834" s="148"/>
      <c r="B834" s="133"/>
      <c r="C834" s="149"/>
      <c r="D834" s="150"/>
      <c r="E834" s="151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</row>
    <row r="835">
      <c r="A835" s="148"/>
      <c r="B835" s="133"/>
      <c r="C835" s="149"/>
      <c r="D835" s="150"/>
      <c r="E835" s="151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</row>
    <row r="836">
      <c r="A836" s="148"/>
      <c r="B836" s="133"/>
      <c r="C836" s="149"/>
      <c r="D836" s="150"/>
      <c r="E836" s="151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</row>
    <row r="837">
      <c r="A837" s="148"/>
      <c r="B837" s="133"/>
      <c r="C837" s="149"/>
      <c r="D837" s="150"/>
      <c r="E837" s="151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</row>
    <row r="838">
      <c r="A838" s="148"/>
      <c r="B838" s="133"/>
      <c r="C838" s="149"/>
      <c r="D838" s="150"/>
      <c r="E838" s="151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</row>
    <row r="839">
      <c r="A839" s="148"/>
      <c r="B839" s="133"/>
      <c r="C839" s="149"/>
      <c r="D839" s="150"/>
      <c r="E839" s="151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</row>
    <row r="840">
      <c r="A840" s="148"/>
      <c r="B840" s="133"/>
      <c r="C840" s="149"/>
      <c r="D840" s="150"/>
      <c r="E840" s="151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</row>
    <row r="841">
      <c r="A841" s="148"/>
      <c r="B841" s="133"/>
      <c r="C841" s="149"/>
      <c r="D841" s="150"/>
      <c r="E841" s="151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</row>
    <row r="842">
      <c r="A842" s="148"/>
      <c r="B842" s="133"/>
      <c r="C842" s="149"/>
      <c r="D842" s="150"/>
      <c r="E842" s="151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</row>
    <row r="843">
      <c r="A843" s="148"/>
      <c r="B843" s="133"/>
      <c r="C843" s="149"/>
      <c r="D843" s="150"/>
      <c r="E843" s="151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</row>
    <row r="844">
      <c r="A844" s="148"/>
      <c r="B844" s="133"/>
      <c r="C844" s="149"/>
      <c r="D844" s="150"/>
      <c r="E844" s="151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</row>
    <row r="845">
      <c r="A845" s="148"/>
      <c r="B845" s="133"/>
      <c r="C845" s="149"/>
      <c r="D845" s="150"/>
      <c r="E845" s="151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</row>
    <row r="846">
      <c r="A846" s="148"/>
      <c r="B846" s="133"/>
      <c r="C846" s="149"/>
      <c r="D846" s="150"/>
      <c r="E846" s="151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</row>
    <row r="847">
      <c r="A847" s="148"/>
      <c r="B847" s="133"/>
      <c r="C847" s="149"/>
      <c r="D847" s="150"/>
      <c r="E847" s="151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</row>
    <row r="848">
      <c r="A848" s="148"/>
      <c r="B848" s="133"/>
      <c r="C848" s="149"/>
      <c r="D848" s="150"/>
      <c r="E848" s="151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</row>
    <row r="849">
      <c r="A849" s="148"/>
      <c r="B849" s="133"/>
      <c r="C849" s="149"/>
      <c r="D849" s="150"/>
      <c r="E849" s="151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</row>
    <row r="850">
      <c r="A850" s="148"/>
      <c r="B850" s="133"/>
      <c r="C850" s="149"/>
      <c r="D850" s="150"/>
      <c r="E850" s="151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</row>
    <row r="851">
      <c r="A851" s="148"/>
      <c r="B851" s="133"/>
      <c r="C851" s="149"/>
      <c r="D851" s="150"/>
      <c r="E851" s="151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</row>
    <row r="852">
      <c r="A852" s="148"/>
      <c r="B852" s="133"/>
      <c r="C852" s="149"/>
      <c r="D852" s="150"/>
      <c r="E852" s="151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</row>
    <row r="853">
      <c r="A853" s="148"/>
      <c r="B853" s="133"/>
      <c r="C853" s="149"/>
      <c r="D853" s="150"/>
      <c r="E853" s="151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</row>
    <row r="854">
      <c r="A854" s="148"/>
      <c r="B854" s="133"/>
      <c r="C854" s="149"/>
      <c r="D854" s="150"/>
      <c r="E854" s="151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</row>
    <row r="855">
      <c r="A855" s="148"/>
      <c r="B855" s="133"/>
      <c r="C855" s="149"/>
      <c r="D855" s="150"/>
      <c r="E855" s="151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</row>
    <row r="856">
      <c r="A856" s="148"/>
      <c r="B856" s="133"/>
      <c r="C856" s="149"/>
      <c r="D856" s="150"/>
      <c r="E856" s="151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</row>
    <row r="857">
      <c r="A857" s="148"/>
      <c r="B857" s="133"/>
      <c r="C857" s="149"/>
      <c r="D857" s="150"/>
      <c r="E857" s="151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</row>
    <row r="858">
      <c r="A858" s="148"/>
      <c r="B858" s="133"/>
      <c r="C858" s="149"/>
      <c r="D858" s="150"/>
      <c r="E858" s="151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</row>
    <row r="859">
      <c r="A859" s="148"/>
      <c r="B859" s="133"/>
      <c r="C859" s="149"/>
      <c r="D859" s="150"/>
      <c r="E859" s="151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</row>
    <row r="860">
      <c r="A860" s="148"/>
      <c r="B860" s="133"/>
      <c r="C860" s="149"/>
      <c r="D860" s="150"/>
      <c r="E860" s="151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</row>
    <row r="861">
      <c r="A861" s="148"/>
      <c r="B861" s="133"/>
      <c r="C861" s="149"/>
      <c r="D861" s="150"/>
      <c r="E861" s="151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</row>
    <row r="862">
      <c r="A862" s="148"/>
      <c r="B862" s="133"/>
      <c r="C862" s="149"/>
      <c r="D862" s="150"/>
      <c r="E862" s="151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</row>
    <row r="863">
      <c r="A863" s="148"/>
      <c r="B863" s="133"/>
      <c r="C863" s="149"/>
      <c r="D863" s="150"/>
      <c r="E863" s="151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</row>
    <row r="864">
      <c r="A864" s="148"/>
      <c r="B864" s="133"/>
      <c r="C864" s="149"/>
      <c r="D864" s="150"/>
      <c r="E864" s="151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</row>
    <row r="865">
      <c r="A865" s="148"/>
      <c r="B865" s="133"/>
      <c r="C865" s="149"/>
      <c r="D865" s="150"/>
      <c r="E865" s="151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</row>
    <row r="866">
      <c r="A866" s="148"/>
      <c r="B866" s="133"/>
      <c r="C866" s="149"/>
      <c r="D866" s="150"/>
      <c r="E866" s="151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</row>
    <row r="867">
      <c r="A867" s="148"/>
      <c r="B867" s="133"/>
      <c r="C867" s="149"/>
      <c r="D867" s="150"/>
      <c r="E867" s="151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</row>
    <row r="868">
      <c r="A868" s="148"/>
      <c r="B868" s="133"/>
      <c r="C868" s="149"/>
      <c r="D868" s="150"/>
      <c r="E868" s="151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</row>
    <row r="869">
      <c r="A869" s="148"/>
      <c r="B869" s="133"/>
      <c r="C869" s="149"/>
      <c r="D869" s="150"/>
      <c r="E869" s="151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</row>
    <row r="870">
      <c r="A870" s="148"/>
      <c r="B870" s="133"/>
      <c r="C870" s="149"/>
      <c r="D870" s="150"/>
      <c r="E870" s="151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</row>
    <row r="871">
      <c r="A871" s="148"/>
      <c r="B871" s="133"/>
      <c r="C871" s="149"/>
      <c r="D871" s="150"/>
      <c r="E871" s="151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</row>
    <row r="872">
      <c r="A872" s="148"/>
      <c r="B872" s="133"/>
      <c r="C872" s="149"/>
      <c r="D872" s="150"/>
      <c r="E872" s="151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</row>
    <row r="873">
      <c r="A873" s="148"/>
      <c r="B873" s="133"/>
      <c r="C873" s="149"/>
      <c r="D873" s="150"/>
      <c r="E873" s="151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</row>
    <row r="874">
      <c r="A874" s="148"/>
      <c r="B874" s="133"/>
      <c r="C874" s="149"/>
      <c r="D874" s="150"/>
      <c r="E874" s="151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</row>
    <row r="875">
      <c r="A875" s="148"/>
      <c r="B875" s="133"/>
      <c r="C875" s="149"/>
      <c r="D875" s="150"/>
      <c r="E875" s="151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</row>
    <row r="876">
      <c r="A876" s="148"/>
      <c r="B876" s="133"/>
      <c r="C876" s="149"/>
      <c r="D876" s="150"/>
      <c r="E876" s="151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</row>
    <row r="877">
      <c r="A877" s="148"/>
      <c r="B877" s="133"/>
      <c r="C877" s="149"/>
      <c r="D877" s="150"/>
      <c r="E877" s="151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</row>
    <row r="878">
      <c r="A878" s="148"/>
      <c r="B878" s="133"/>
      <c r="C878" s="149"/>
      <c r="D878" s="150"/>
      <c r="E878" s="151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</row>
    <row r="879">
      <c r="A879" s="148"/>
      <c r="B879" s="133"/>
      <c r="C879" s="149"/>
      <c r="D879" s="150"/>
      <c r="E879" s="151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</row>
    <row r="880">
      <c r="A880" s="148"/>
      <c r="B880" s="133"/>
      <c r="C880" s="149"/>
      <c r="D880" s="150"/>
      <c r="E880" s="151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</row>
    <row r="881">
      <c r="A881" s="148"/>
      <c r="B881" s="133"/>
      <c r="C881" s="149"/>
      <c r="D881" s="150"/>
      <c r="E881" s="151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</row>
    <row r="882">
      <c r="A882" s="148"/>
      <c r="B882" s="133"/>
      <c r="C882" s="149"/>
      <c r="D882" s="150"/>
      <c r="E882" s="151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</row>
    <row r="883">
      <c r="A883" s="148"/>
      <c r="B883" s="133"/>
      <c r="C883" s="149"/>
      <c r="D883" s="150"/>
      <c r="E883" s="151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</row>
    <row r="884">
      <c r="A884" s="148"/>
      <c r="B884" s="133"/>
      <c r="C884" s="149"/>
      <c r="D884" s="150"/>
      <c r="E884" s="151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</row>
    <row r="885">
      <c r="A885" s="148"/>
      <c r="B885" s="133"/>
      <c r="C885" s="149"/>
      <c r="D885" s="150"/>
      <c r="E885" s="151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</row>
    <row r="886">
      <c r="A886" s="148"/>
      <c r="B886" s="133"/>
      <c r="C886" s="149"/>
      <c r="D886" s="150"/>
      <c r="E886" s="151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</row>
    <row r="887">
      <c r="A887" s="148"/>
      <c r="B887" s="133"/>
      <c r="C887" s="149"/>
      <c r="D887" s="150"/>
      <c r="E887" s="151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</row>
    <row r="888">
      <c r="A888" s="148"/>
      <c r="B888" s="133"/>
      <c r="C888" s="149"/>
      <c r="D888" s="150"/>
      <c r="E888" s="151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</row>
    <row r="889">
      <c r="A889" s="148"/>
      <c r="B889" s="133"/>
      <c r="C889" s="149"/>
      <c r="D889" s="150"/>
      <c r="E889" s="151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</row>
    <row r="890">
      <c r="A890" s="148"/>
      <c r="B890" s="133"/>
      <c r="C890" s="149"/>
      <c r="D890" s="150"/>
      <c r="E890" s="151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</row>
    <row r="891">
      <c r="A891" s="148"/>
      <c r="B891" s="133"/>
      <c r="C891" s="149"/>
      <c r="D891" s="150"/>
      <c r="E891" s="151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</row>
    <row r="892">
      <c r="A892" s="148"/>
      <c r="B892" s="133"/>
      <c r="C892" s="149"/>
      <c r="D892" s="150"/>
      <c r="E892" s="151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</row>
    <row r="893">
      <c r="A893" s="148"/>
      <c r="B893" s="133"/>
      <c r="C893" s="149"/>
      <c r="D893" s="150"/>
      <c r="E893" s="151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</row>
    <row r="894">
      <c r="A894" s="148"/>
      <c r="B894" s="133"/>
      <c r="C894" s="149"/>
      <c r="D894" s="150"/>
      <c r="E894" s="151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</row>
    <row r="895">
      <c r="A895" s="148"/>
      <c r="B895" s="133"/>
      <c r="C895" s="149"/>
      <c r="D895" s="150"/>
      <c r="E895" s="151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</row>
    <row r="896">
      <c r="A896" s="148"/>
      <c r="B896" s="133"/>
      <c r="C896" s="149"/>
      <c r="D896" s="150"/>
      <c r="E896" s="151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</row>
    <row r="897">
      <c r="A897" s="148"/>
      <c r="B897" s="133"/>
      <c r="C897" s="149"/>
      <c r="D897" s="150"/>
      <c r="E897" s="151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</row>
    <row r="898">
      <c r="A898" s="148"/>
      <c r="B898" s="133"/>
      <c r="C898" s="149"/>
      <c r="D898" s="150"/>
      <c r="E898" s="151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</row>
    <row r="899">
      <c r="A899" s="148"/>
      <c r="B899" s="133"/>
      <c r="C899" s="149"/>
      <c r="D899" s="150"/>
      <c r="E899" s="151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</row>
    <row r="900">
      <c r="A900" s="148"/>
      <c r="B900" s="133"/>
      <c r="C900" s="149"/>
      <c r="D900" s="150"/>
      <c r="E900" s="151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</row>
    <row r="901">
      <c r="A901" s="148"/>
      <c r="B901" s="133"/>
      <c r="C901" s="149"/>
      <c r="D901" s="150"/>
      <c r="E901" s="151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</row>
    <row r="902">
      <c r="A902" s="148"/>
      <c r="B902" s="133"/>
      <c r="C902" s="149"/>
      <c r="D902" s="150"/>
      <c r="E902" s="151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</row>
    <row r="903">
      <c r="A903" s="148"/>
      <c r="B903" s="133"/>
      <c r="C903" s="149"/>
      <c r="D903" s="150"/>
      <c r="E903" s="151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</row>
    <row r="904">
      <c r="A904" s="148"/>
      <c r="B904" s="133"/>
      <c r="C904" s="149"/>
      <c r="D904" s="150"/>
      <c r="E904" s="151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</row>
    <row r="905">
      <c r="A905" s="148"/>
      <c r="B905" s="133"/>
      <c r="C905" s="149"/>
      <c r="D905" s="150"/>
      <c r="E905" s="151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</row>
    <row r="906">
      <c r="A906" s="148"/>
      <c r="B906" s="133"/>
      <c r="C906" s="149"/>
      <c r="D906" s="150"/>
      <c r="E906" s="151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</row>
    <row r="907">
      <c r="A907" s="148"/>
      <c r="B907" s="133"/>
      <c r="C907" s="149"/>
      <c r="D907" s="150"/>
      <c r="E907" s="151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</row>
    <row r="908">
      <c r="A908" s="148"/>
      <c r="B908" s="133"/>
      <c r="C908" s="149"/>
      <c r="D908" s="150"/>
      <c r="E908" s="151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</row>
    <row r="909">
      <c r="A909" s="148"/>
      <c r="B909" s="133"/>
      <c r="C909" s="149"/>
      <c r="D909" s="150"/>
      <c r="E909" s="151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</row>
    <row r="910">
      <c r="A910" s="148"/>
      <c r="B910" s="133"/>
      <c r="C910" s="149"/>
      <c r="D910" s="150"/>
      <c r="E910" s="151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</row>
    <row r="911">
      <c r="A911" s="148"/>
      <c r="B911" s="133"/>
      <c r="C911" s="149"/>
      <c r="D911" s="150"/>
      <c r="E911" s="151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</row>
    <row r="912">
      <c r="A912" s="148"/>
      <c r="B912" s="133"/>
      <c r="C912" s="149"/>
      <c r="D912" s="150"/>
      <c r="E912" s="151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</row>
    <row r="913">
      <c r="A913" s="148"/>
      <c r="B913" s="133"/>
      <c r="C913" s="149"/>
      <c r="D913" s="150"/>
      <c r="E913" s="151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</row>
    <row r="914">
      <c r="A914" s="148"/>
      <c r="B914" s="133"/>
      <c r="C914" s="149"/>
      <c r="D914" s="150"/>
      <c r="E914" s="151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</row>
    <row r="915">
      <c r="A915" s="148"/>
      <c r="B915" s="133"/>
      <c r="C915" s="149"/>
      <c r="D915" s="150"/>
      <c r="E915" s="151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</row>
    <row r="916">
      <c r="A916" s="148"/>
      <c r="B916" s="133"/>
      <c r="C916" s="149"/>
      <c r="D916" s="150"/>
      <c r="E916" s="151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</row>
    <row r="917">
      <c r="A917" s="148"/>
      <c r="B917" s="133"/>
      <c r="C917" s="149"/>
      <c r="D917" s="150"/>
      <c r="E917" s="151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</row>
    <row r="918">
      <c r="A918" s="148"/>
      <c r="B918" s="133"/>
      <c r="C918" s="149"/>
      <c r="D918" s="150"/>
      <c r="E918" s="151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</row>
    <row r="919">
      <c r="A919" s="148"/>
      <c r="B919" s="133"/>
      <c r="C919" s="149"/>
      <c r="D919" s="150"/>
      <c r="E919" s="151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</row>
    <row r="920">
      <c r="A920" s="148"/>
      <c r="B920" s="133"/>
      <c r="C920" s="149"/>
      <c r="D920" s="150"/>
      <c r="E920" s="151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</row>
    <row r="921">
      <c r="A921" s="148"/>
      <c r="B921" s="133"/>
      <c r="C921" s="149"/>
      <c r="D921" s="150"/>
      <c r="E921" s="151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</row>
    <row r="922">
      <c r="A922" s="148"/>
      <c r="B922" s="133"/>
      <c r="C922" s="149"/>
      <c r="D922" s="150"/>
      <c r="E922" s="151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</row>
    <row r="923">
      <c r="A923" s="148"/>
      <c r="B923" s="133"/>
      <c r="C923" s="149"/>
      <c r="D923" s="150"/>
      <c r="E923" s="151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</row>
    <row r="924">
      <c r="A924" s="148"/>
      <c r="B924" s="133"/>
      <c r="C924" s="149"/>
      <c r="D924" s="150"/>
      <c r="E924" s="151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</row>
    <row r="925">
      <c r="A925" s="148"/>
      <c r="B925" s="133"/>
      <c r="C925" s="149"/>
      <c r="D925" s="150"/>
      <c r="E925" s="151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</row>
    <row r="926">
      <c r="A926" s="148"/>
      <c r="B926" s="133"/>
      <c r="C926" s="149"/>
      <c r="D926" s="150"/>
      <c r="E926" s="151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</row>
    <row r="927">
      <c r="A927" s="148"/>
      <c r="B927" s="133"/>
      <c r="C927" s="149"/>
      <c r="D927" s="150"/>
      <c r="E927" s="151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</row>
    <row r="928">
      <c r="A928" s="148"/>
      <c r="B928" s="133"/>
      <c r="C928" s="149"/>
      <c r="D928" s="150"/>
      <c r="E928" s="151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</row>
    <row r="929">
      <c r="A929" s="148"/>
      <c r="B929" s="133"/>
      <c r="C929" s="149"/>
      <c r="D929" s="150"/>
      <c r="E929" s="151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</row>
    <row r="930">
      <c r="A930" s="148"/>
      <c r="B930" s="133"/>
      <c r="C930" s="149"/>
      <c r="D930" s="150"/>
      <c r="E930" s="151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</row>
    <row r="931">
      <c r="A931" s="148"/>
      <c r="B931" s="133"/>
      <c r="C931" s="149"/>
      <c r="D931" s="150"/>
      <c r="E931" s="151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</row>
    <row r="932">
      <c r="A932" s="148"/>
      <c r="B932" s="133"/>
      <c r="C932" s="149"/>
      <c r="D932" s="150"/>
      <c r="E932" s="151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</row>
    <row r="933">
      <c r="A933" s="148"/>
      <c r="B933" s="133"/>
      <c r="C933" s="149"/>
      <c r="D933" s="150"/>
      <c r="E933" s="151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</row>
    <row r="934">
      <c r="A934" s="148"/>
      <c r="B934" s="133"/>
      <c r="C934" s="149"/>
      <c r="D934" s="150"/>
      <c r="E934" s="151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</row>
    <row r="935">
      <c r="A935" s="148"/>
      <c r="B935" s="133"/>
      <c r="C935" s="149"/>
      <c r="D935" s="150"/>
      <c r="E935" s="151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</row>
    <row r="936">
      <c r="A936" s="148"/>
      <c r="B936" s="133"/>
      <c r="C936" s="149"/>
      <c r="D936" s="150"/>
      <c r="E936" s="151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</row>
    <row r="937">
      <c r="A937" s="148"/>
      <c r="B937" s="133"/>
      <c r="C937" s="149"/>
      <c r="D937" s="150"/>
      <c r="E937" s="151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</row>
    <row r="938">
      <c r="A938" s="148"/>
      <c r="B938" s="133"/>
      <c r="C938" s="149"/>
      <c r="D938" s="150"/>
      <c r="E938" s="151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</row>
    <row r="939">
      <c r="A939" s="148"/>
      <c r="B939" s="133"/>
      <c r="C939" s="149"/>
      <c r="D939" s="150"/>
      <c r="E939" s="151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</row>
    <row r="940">
      <c r="A940" s="148"/>
      <c r="B940" s="133"/>
      <c r="C940" s="149"/>
      <c r="D940" s="150"/>
      <c r="E940" s="151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</row>
    <row r="941">
      <c r="A941" s="148"/>
      <c r="B941" s="133"/>
      <c r="C941" s="149"/>
      <c r="D941" s="150"/>
      <c r="E941" s="151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</row>
    <row r="942">
      <c r="A942" s="148"/>
      <c r="B942" s="133"/>
      <c r="C942" s="149"/>
      <c r="D942" s="150"/>
      <c r="E942" s="151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</row>
    <row r="943">
      <c r="A943" s="148"/>
      <c r="B943" s="133"/>
      <c r="C943" s="149"/>
      <c r="D943" s="150"/>
      <c r="E943" s="151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</row>
    <row r="944">
      <c r="A944" s="148"/>
      <c r="B944" s="133"/>
      <c r="C944" s="149"/>
      <c r="D944" s="150"/>
      <c r="E944" s="151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</row>
    <row r="945">
      <c r="A945" s="148"/>
      <c r="B945" s="133"/>
      <c r="C945" s="149"/>
      <c r="D945" s="150"/>
      <c r="E945" s="151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</row>
    <row r="946">
      <c r="A946" s="148"/>
      <c r="B946" s="133"/>
      <c r="C946" s="149"/>
      <c r="D946" s="150"/>
      <c r="E946" s="151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</row>
    <row r="947">
      <c r="A947" s="148"/>
      <c r="B947" s="133"/>
      <c r="C947" s="149"/>
      <c r="D947" s="150"/>
      <c r="E947" s="151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</row>
    <row r="948">
      <c r="A948" s="148"/>
      <c r="B948" s="133"/>
      <c r="C948" s="149"/>
      <c r="D948" s="150"/>
      <c r="E948" s="151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</row>
    <row r="949">
      <c r="A949" s="148"/>
      <c r="B949" s="133"/>
      <c r="C949" s="149"/>
      <c r="D949" s="150"/>
      <c r="E949" s="151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</row>
    <row r="950">
      <c r="A950" s="148"/>
      <c r="B950" s="133"/>
      <c r="C950" s="149"/>
      <c r="D950" s="150"/>
      <c r="E950" s="151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</row>
    <row r="951">
      <c r="A951" s="148"/>
      <c r="B951" s="133"/>
      <c r="C951" s="149"/>
      <c r="D951" s="150"/>
      <c r="E951" s="151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</row>
    <row r="952">
      <c r="A952" s="148"/>
      <c r="B952" s="133"/>
      <c r="C952" s="149"/>
      <c r="D952" s="150"/>
      <c r="E952" s="151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</row>
    <row r="953">
      <c r="A953" s="148"/>
      <c r="B953" s="133"/>
      <c r="C953" s="149"/>
      <c r="D953" s="150"/>
      <c r="E953" s="151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</row>
    <row r="954">
      <c r="A954" s="148"/>
      <c r="B954" s="133"/>
      <c r="C954" s="149"/>
      <c r="D954" s="150"/>
      <c r="E954" s="151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</row>
    <row r="955">
      <c r="A955" s="148"/>
      <c r="B955" s="133"/>
      <c r="C955" s="149"/>
      <c r="D955" s="150"/>
      <c r="E955" s="151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</row>
    <row r="956">
      <c r="A956" s="148"/>
      <c r="B956" s="133"/>
      <c r="C956" s="149"/>
      <c r="D956" s="150"/>
      <c r="E956" s="151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</row>
    <row r="957">
      <c r="A957" s="148"/>
      <c r="B957" s="133"/>
      <c r="C957" s="149"/>
      <c r="D957" s="150"/>
      <c r="E957" s="151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</row>
    <row r="958">
      <c r="A958" s="148"/>
      <c r="B958" s="133"/>
      <c r="C958" s="149"/>
      <c r="D958" s="150"/>
      <c r="E958" s="151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</row>
    <row r="959">
      <c r="A959" s="148"/>
      <c r="B959" s="133"/>
      <c r="C959" s="149"/>
      <c r="D959" s="150"/>
      <c r="E959" s="151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</row>
    <row r="960">
      <c r="A960" s="148"/>
      <c r="B960" s="133"/>
      <c r="C960" s="149"/>
      <c r="D960" s="150"/>
      <c r="E960" s="151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</row>
    <row r="961">
      <c r="A961" s="148"/>
      <c r="B961" s="133"/>
      <c r="C961" s="149"/>
      <c r="D961" s="150"/>
      <c r="E961" s="151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</row>
    <row r="962">
      <c r="A962" s="148"/>
      <c r="B962" s="133"/>
      <c r="C962" s="149"/>
      <c r="D962" s="150"/>
      <c r="E962" s="151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</row>
    <row r="963">
      <c r="A963" s="148"/>
      <c r="B963" s="133"/>
      <c r="C963" s="149"/>
      <c r="D963" s="150"/>
      <c r="E963" s="151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</row>
    <row r="964">
      <c r="A964" s="148"/>
      <c r="B964" s="133"/>
      <c r="C964" s="149"/>
      <c r="D964" s="150"/>
      <c r="E964" s="151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</row>
    <row r="965">
      <c r="A965" s="148"/>
      <c r="B965" s="133"/>
      <c r="C965" s="149"/>
      <c r="D965" s="150"/>
      <c r="E965" s="151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</row>
    <row r="966">
      <c r="A966" s="148"/>
      <c r="B966" s="133"/>
      <c r="C966" s="149"/>
      <c r="D966" s="150"/>
      <c r="E966" s="151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</row>
    <row r="967">
      <c r="A967" s="148"/>
      <c r="B967" s="133"/>
      <c r="C967" s="149"/>
      <c r="D967" s="150"/>
      <c r="E967" s="151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</row>
    <row r="968">
      <c r="A968" s="148"/>
      <c r="B968" s="133"/>
      <c r="C968" s="149"/>
      <c r="D968" s="150"/>
      <c r="E968" s="151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</row>
    <row r="969">
      <c r="A969" s="148"/>
      <c r="B969" s="133"/>
      <c r="C969" s="149"/>
      <c r="D969" s="150"/>
      <c r="E969" s="151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</row>
    <row r="970">
      <c r="A970" s="148"/>
      <c r="B970" s="133"/>
      <c r="C970" s="149"/>
      <c r="D970" s="150"/>
      <c r="E970" s="151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</row>
    <row r="971">
      <c r="A971" s="148"/>
      <c r="B971" s="133"/>
      <c r="C971" s="149"/>
      <c r="D971" s="150"/>
      <c r="E971" s="151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</row>
    <row r="972">
      <c r="A972" s="148"/>
      <c r="B972" s="133"/>
      <c r="C972" s="149"/>
      <c r="D972" s="150"/>
      <c r="E972" s="151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</row>
    <row r="973">
      <c r="A973" s="148"/>
      <c r="B973" s="133"/>
      <c r="C973" s="149"/>
      <c r="D973" s="150"/>
      <c r="E973" s="151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</row>
    <row r="974">
      <c r="A974" s="148"/>
      <c r="B974" s="133"/>
      <c r="C974" s="149"/>
      <c r="D974" s="150"/>
      <c r="E974" s="151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</row>
    <row r="975">
      <c r="A975" s="148"/>
      <c r="B975" s="133"/>
      <c r="C975" s="149"/>
      <c r="D975" s="150"/>
      <c r="E975" s="151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</row>
    <row r="976">
      <c r="A976" s="148"/>
      <c r="B976" s="133"/>
      <c r="C976" s="149"/>
      <c r="D976" s="150"/>
      <c r="E976" s="151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</row>
    <row r="977">
      <c r="A977" s="148"/>
      <c r="B977" s="133"/>
      <c r="C977" s="149"/>
      <c r="D977" s="150"/>
      <c r="E977" s="151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</row>
    <row r="978">
      <c r="A978" s="148"/>
      <c r="B978" s="133"/>
      <c r="C978" s="149"/>
      <c r="D978" s="150"/>
      <c r="E978" s="151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</row>
    <row r="979">
      <c r="A979" s="148"/>
      <c r="B979" s="133"/>
      <c r="C979" s="149"/>
      <c r="D979" s="150"/>
      <c r="E979" s="151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</row>
    <row r="980">
      <c r="A980" s="148"/>
      <c r="B980" s="133"/>
      <c r="C980" s="149"/>
      <c r="D980" s="150"/>
      <c r="E980" s="151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</row>
    <row r="981">
      <c r="A981" s="148"/>
      <c r="B981" s="133"/>
      <c r="C981" s="149"/>
      <c r="D981" s="150"/>
      <c r="E981" s="151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</row>
    <row r="982">
      <c r="A982" s="148"/>
      <c r="B982" s="133"/>
      <c r="C982" s="149"/>
      <c r="D982" s="150"/>
      <c r="E982" s="151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</row>
    <row r="983">
      <c r="A983" s="148"/>
      <c r="B983" s="133"/>
      <c r="C983" s="149"/>
      <c r="D983" s="150"/>
      <c r="E983" s="151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</row>
    <row r="984">
      <c r="A984" s="148"/>
      <c r="B984" s="133"/>
      <c r="C984" s="149"/>
      <c r="D984" s="150"/>
      <c r="E984" s="151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</row>
    <row r="985">
      <c r="A985" s="148"/>
      <c r="B985" s="133"/>
      <c r="C985" s="149"/>
      <c r="D985" s="150"/>
      <c r="E985" s="151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</row>
    <row r="986">
      <c r="A986" s="148"/>
      <c r="B986" s="133"/>
      <c r="C986" s="149"/>
      <c r="D986" s="150"/>
      <c r="E986" s="151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</row>
    <row r="987">
      <c r="A987" s="148"/>
      <c r="B987" s="133"/>
      <c r="C987" s="149"/>
      <c r="D987" s="150"/>
      <c r="E987" s="151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</row>
    <row r="988">
      <c r="A988" s="148"/>
      <c r="B988" s="133"/>
      <c r="C988" s="149"/>
      <c r="D988" s="150"/>
      <c r="E988" s="151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</row>
    <row r="989">
      <c r="A989" s="148"/>
      <c r="B989" s="133"/>
      <c r="C989" s="149"/>
      <c r="D989" s="150"/>
      <c r="E989" s="151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</row>
    <row r="990">
      <c r="A990" s="148"/>
      <c r="B990" s="133"/>
      <c r="C990" s="149"/>
      <c r="D990" s="150"/>
      <c r="E990" s="151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</row>
  </sheetData>
  <mergeCells count="2">
    <mergeCell ref="A1:E1"/>
    <mergeCell ref="B5:C5"/>
  </mergeCells>
  <hyperlinks>
    <hyperlink r:id="rId1" ref="A3"/>
    <hyperlink r:id="rId2" ref="B3"/>
    <hyperlink r:id="rId3" ref="C3"/>
    <hyperlink r:id="rId4" ref="A4"/>
    <hyperlink r:id="rId5" ref="B4"/>
    <hyperlink r:id="rId6" ref="C4"/>
    <hyperlink r:id="rId7" ref="A5"/>
    <hyperlink r:id="rId8" ref="B5"/>
    <hyperlink r:id="rId9" ref="A6"/>
    <hyperlink r:id="rId10" ref="B6"/>
    <hyperlink r:id="rId11" ref="C6"/>
  </hyperlinks>
  <printOptions/>
  <pageMargins bottom="0.75" footer="0.0" header="0.0" left="0.7" right="0.7" top="0.75"/>
  <pageSetup orientation="landscape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8.0"/>
    <col customWidth="1" min="2" max="2" width="63.56"/>
    <col customWidth="1" min="3" max="3" width="73.11"/>
    <col customWidth="1" min="4" max="4" width="16.44"/>
    <col customWidth="1" min="5" max="5" width="21.56"/>
    <col customWidth="1" min="6" max="20" width="6.78"/>
  </cols>
  <sheetData>
    <row r="1">
      <c r="A1" s="1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1" t="s">
        <v>4</v>
      </c>
      <c r="B2" s="11" t="s">
        <v>5</v>
      </c>
      <c r="C2" s="13" t="s">
        <v>7</v>
      </c>
      <c r="D2" s="13" t="s">
        <v>8</v>
      </c>
      <c r="E2" s="13" t="s">
        <v>9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ht="111.0" customHeight="1">
      <c r="A3" s="16" t="str">
        <f>HYPERLINK("http://www.mamafisch.com.tw/","媽媽魚安心超市")</f>
        <v>媽媽魚安心超市</v>
      </c>
      <c r="B3" s="19" t="s">
        <v>148</v>
      </c>
      <c r="C3" s="19" t="s">
        <v>149</v>
      </c>
      <c r="D3" s="146" t="s">
        <v>83</v>
      </c>
      <c r="E3" s="93" t="s">
        <v>13</v>
      </c>
      <c r="F3" s="153" t="s">
        <v>69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ht="102.75" customHeight="1">
      <c r="A4" s="16" t="str">
        <f>HYPERLINK("http://www.ntucc.gov.tw/ntucc/Fpage.action?muid=134&amp;fid=93","臺大癌醫美食街")</f>
        <v>臺大癌醫美食街</v>
      </c>
      <c r="B4" s="154" t="s">
        <v>150</v>
      </c>
      <c r="C4" s="154" t="s">
        <v>151</v>
      </c>
      <c r="D4" s="155" t="s">
        <v>138</v>
      </c>
      <c r="E4" s="156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ht="105.0" customHeight="1">
      <c r="A5" s="16" t="s">
        <v>152</v>
      </c>
      <c r="B5" s="19" t="s">
        <v>153</v>
      </c>
      <c r="C5" s="72" t="s">
        <v>154</v>
      </c>
      <c r="D5" s="146" t="s">
        <v>83</v>
      </c>
      <c r="E5" s="93" t="s">
        <v>13</v>
      </c>
      <c r="F5" s="153" t="s">
        <v>69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234.0" customHeight="1">
      <c r="A6" s="16" t="s">
        <v>155</v>
      </c>
      <c r="B6" s="157" t="s">
        <v>156</v>
      </c>
      <c r="C6" s="157" t="s">
        <v>157</v>
      </c>
      <c r="D6" s="158" t="s">
        <v>138</v>
      </c>
      <c r="E6" s="159" t="s">
        <v>158</v>
      </c>
      <c r="F6" s="160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ht="156.0" customHeight="1">
      <c r="A7" s="16" t="s">
        <v>159</v>
      </c>
      <c r="B7" s="161" t="s">
        <v>160</v>
      </c>
      <c r="C7" s="75" t="s">
        <v>161</v>
      </c>
      <c r="D7" s="162">
        <v>46387.0</v>
      </c>
      <c r="E7" s="156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ht="219.75" customHeight="1">
      <c r="A8" s="16" t="s">
        <v>162</v>
      </c>
      <c r="B8" s="44" t="s">
        <v>163</v>
      </c>
      <c r="C8" s="36" t="s">
        <v>164</v>
      </c>
      <c r="D8" s="163">
        <v>46616.0</v>
      </c>
      <c r="E8" s="156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ht="160.5" customHeight="1">
      <c r="A9" s="34" t="s">
        <v>165</v>
      </c>
      <c r="B9" s="164" t="s">
        <v>166</v>
      </c>
      <c r="C9" s="165" t="s">
        <v>167</v>
      </c>
      <c r="D9" s="166">
        <v>46387.0</v>
      </c>
      <c r="E9" s="167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109.5" customHeight="1">
      <c r="A10" s="16" t="s">
        <v>168</v>
      </c>
      <c r="B10" s="154" t="s">
        <v>169</v>
      </c>
      <c r="C10" s="145" t="s">
        <v>170</v>
      </c>
      <c r="D10" s="158" t="s">
        <v>138</v>
      </c>
      <c r="E10" s="168"/>
      <c r="F10" s="160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ht="169.5" customHeight="1">
      <c r="A11" s="16" t="s">
        <v>171</v>
      </c>
      <c r="B11" s="36" t="s">
        <v>172</v>
      </c>
      <c r="C11" s="169" t="s">
        <v>173</v>
      </c>
      <c r="D11" s="146" t="s">
        <v>83</v>
      </c>
      <c r="E11" s="93" t="s">
        <v>13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19"/>
      <c r="B12" s="12"/>
      <c r="C12" s="12"/>
      <c r="D12" s="13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19"/>
      <c r="B13" s="12"/>
      <c r="C13" s="12"/>
      <c r="D13" s="13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19"/>
      <c r="B14" s="12"/>
      <c r="C14" s="12"/>
      <c r="D14" s="13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19"/>
      <c r="B15" s="12"/>
      <c r="C15" s="12"/>
      <c r="D15" s="13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19"/>
      <c r="B16" s="12"/>
      <c r="C16" s="12"/>
      <c r="D16" s="13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19"/>
      <c r="B17" s="12"/>
      <c r="C17" s="12"/>
      <c r="D17" s="13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19"/>
      <c r="B18" s="12"/>
      <c r="C18" s="12"/>
      <c r="D18" s="13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19"/>
      <c r="B19" s="12"/>
      <c r="C19" s="12"/>
      <c r="D19" s="13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19"/>
      <c r="B20" s="12"/>
      <c r="C20" s="12"/>
      <c r="D20" s="13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19"/>
      <c r="B21" s="12"/>
      <c r="C21" s="12"/>
      <c r="D21" s="13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9"/>
      <c r="B22" s="12"/>
      <c r="C22" s="12"/>
      <c r="D22" s="13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9"/>
      <c r="B23" s="12"/>
      <c r="C23" s="12"/>
      <c r="D23" s="13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9"/>
      <c r="B24" s="12"/>
      <c r="C24" s="12"/>
      <c r="D24" s="13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9"/>
      <c r="B25" s="12"/>
      <c r="C25" s="12"/>
      <c r="D25" s="13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9"/>
      <c r="B26" s="12"/>
      <c r="C26" s="12"/>
      <c r="D26" s="13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9"/>
      <c r="B27" s="12"/>
      <c r="C27" s="12"/>
      <c r="D27" s="13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9"/>
      <c r="B28" s="12"/>
      <c r="C28" s="12"/>
      <c r="D28" s="13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9"/>
      <c r="B29" s="12"/>
      <c r="C29" s="12"/>
      <c r="D29" s="13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9"/>
      <c r="B30" s="12"/>
      <c r="C30" s="12"/>
      <c r="D30" s="13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9"/>
      <c r="B31" s="12"/>
      <c r="C31" s="12"/>
      <c r="D31" s="13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9"/>
      <c r="B32" s="12"/>
      <c r="C32" s="12"/>
      <c r="D32" s="13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19"/>
      <c r="B33" s="12"/>
      <c r="C33" s="12"/>
      <c r="D33" s="13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19"/>
      <c r="B34" s="12"/>
      <c r="C34" s="12"/>
      <c r="D34" s="13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19"/>
      <c r="B35" s="12"/>
      <c r="C35" s="12"/>
      <c r="D35" s="13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19"/>
      <c r="B36" s="12"/>
      <c r="C36" s="12"/>
      <c r="D36" s="13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19"/>
      <c r="B37" s="12"/>
      <c r="C37" s="12"/>
      <c r="D37" s="13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19"/>
      <c r="B38" s="12"/>
      <c r="C38" s="12"/>
      <c r="D38" s="13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19"/>
      <c r="B39" s="12"/>
      <c r="C39" s="12"/>
      <c r="D39" s="13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19"/>
      <c r="B40" s="12"/>
      <c r="C40" s="12"/>
      <c r="D40" s="13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19"/>
      <c r="B41" s="12"/>
      <c r="C41" s="12"/>
      <c r="D41" s="13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19"/>
      <c r="B42" s="12"/>
      <c r="C42" s="12"/>
      <c r="D42" s="13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19"/>
      <c r="B43" s="12"/>
      <c r="C43" s="12"/>
      <c r="D43" s="13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19"/>
      <c r="B44" s="12"/>
      <c r="C44" s="12"/>
      <c r="D44" s="13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19"/>
      <c r="B45" s="12"/>
      <c r="C45" s="12"/>
      <c r="D45" s="13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19"/>
      <c r="B46" s="12"/>
      <c r="C46" s="12"/>
      <c r="D46" s="13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19"/>
      <c r="B47" s="12"/>
      <c r="C47" s="12"/>
      <c r="D47" s="13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19"/>
      <c r="B48" s="12"/>
      <c r="C48" s="12"/>
      <c r="D48" s="13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19"/>
      <c r="B49" s="12"/>
      <c r="C49" s="12"/>
      <c r="D49" s="13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19"/>
      <c r="B50" s="12"/>
      <c r="C50" s="12"/>
      <c r="D50" s="13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119"/>
      <c r="B51" s="12"/>
      <c r="C51" s="12"/>
      <c r="D51" s="13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119"/>
      <c r="B52" s="12"/>
      <c r="C52" s="12"/>
      <c r="D52" s="13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119"/>
      <c r="B53" s="12"/>
      <c r="C53" s="12"/>
      <c r="D53" s="13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119"/>
      <c r="B54" s="12"/>
      <c r="C54" s="12"/>
      <c r="D54" s="13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119"/>
      <c r="B55" s="12"/>
      <c r="C55" s="12"/>
      <c r="D55" s="13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119"/>
      <c r="B56" s="12"/>
      <c r="C56" s="12"/>
      <c r="D56" s="13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119"/>
      <c r="B57" s="12"/>
      <c r="C57" s="12"/>
      <c r="D57" s="13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119"/>
      <c r="B58" s="12"/>
      <c r="C58" s="12"/>
      <c r="D58" s="13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119"/>
      <c r="B59" s="12"/>
      <c r="C59" s="12"/>
      <c r="D59" s="13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119"/>
      <c r="B60" s="12"/>
      <c r="C60" s="12"/>
      <c r="D60" s="13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119"/>
      <c r="B61" s="12"/>
      <c r="C61" s="12"/>
      <c r="D61" s="13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119"/>
      <c r="B62" s="12"/>
      <c r="C62" s="12"/>
      <c r="D62" s="13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119"/>
      <c r="B63" s="12"/>
      <c r="C63" s="12"/>
      <c r="D63" s="13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119"/>
      <c r="B64" s="12"/>
      <c r="C64" s="12"/>
      <c r="D64" s="13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119"/>
      <c r="B65" s="12"/>
      <c r="C65" s="12"/>
      <c r="D65" s="13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119"/>
      <c r="B66" s="12"/>
      <c r="C66" s="12"/>
      <c r="D66" s="13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119"/>
      <c r="B67" s="12"/>
      <c r="C67" s="12"/>
      <c r="D67" s="13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19"/>
      <c r="B68" s="12"/>
      <c r="C68" s="12"/>
      <c r="D68" s="13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119"/>
      <c r="B69" s="12"/>
      <c r="C69" s="12"/>
      <c r="D69" s="13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119"/>
      <c r="B70" s="12"/>
      <c r="C70" s="12"/>
      <c r="D70" s="13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119"/>
      <c r="B71" s="12"/>
      <c r="C71" s="12"/>
      <c r="D71" s="13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119"/>
      <c r="B72" s="12"/>
      <c r="C72" s="12"/>
      <c r="D72" s="13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19"/>
      <c r="B73" s="12"/>
      <c r="C73" s="12"/>
      <c r="D73" s="13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119"/>
      <c r="B74" s="12"/>
      <c r="C74" s="12"/>
      <c r="D74" s="13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119"/>
      <c r="B75" s="12"/>
      <c r="C75" s="12"/>
      <c r="D75" s="13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>
      <c r="A76" s="119"/>
      <c r="B76" s="12"/>
      <c r="C76" s="12"/>
      <c r="D76" s="13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>
      <c r="A77" s="119"/>
      <c r="B77" s="12"/>
      <c r="C77" s="12"/>
      <c r="D77" s="13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>
      <c r="A78" s="119"/>
      <c r="B78" s="12"/>
      <c r="C78" s="12"/>
      <c r="D78" s="13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>
      <c r="A79" s="119"/>
      <c r="B79" s="12"/>
      <c r="C79" s="12"/>
      <c r="D79" s="13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>
      <c r="A80" s="119"/>
      <c r="B80" s="12"/>
      <c r="C80" s="12"/>
      <c r="D80" s="13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>
      <c r="A81" s="119"/>
      <c r="B81" s="12"/>
      <c r="C81" s="12"/>
      <c r="D81" s="13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>
      <c r="A82" s="119"/>
      <c r="B82" s="12"/>
      <c r="C82" s="12"/>
      <c r="D82" s="13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>
      <c r="A83" s="119"/>
      <c r="B83" s="12"/>
      <c r="C83" s="12"/>
      <c r="D83" s="13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>
      <c r="A84" s="119"/>
      <c r="B84" s="12"/>
      <c r="C84" s="12"/>
      <c r="D84" s="13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>
      <c r="A85" s="119"/>
      <c r="B85" s="12"/>
      <c r="C85" s="12"/>
      <c r="D85" s="13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>
      <c r="A86" s="119"/>
      <c r="B86" s="12"/>
      <c r="C86" s="12"/>
      <c r="D86" s="13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>
      <c r="A87" s="119"/>
      <c r="B87" s="12"/>
      <c r="C87" s="12"/>
      <c r="D87" s="13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>
      <c r="A88" s="119"/>
      <c r="B88" s="12"/>
      <c r="C88" s="12"/>
      <c r="D88" s="13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>
      <c r="A89" s="119"/>
      <c r="B89" s="12"/>
      <c r="C89" s="12"/>
      <c r="D89" s="13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>
      <c r="A90" s="119"/>
      <c r="B90" s="12"/>
      <c r="C90" s="12"/>
      <c r="D90" s="13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>
      <c r="A91" s="119"/>
      <c r="B91" s="12"/>
      <c r="C91" s="12"/>
      <c r="D91" s="13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>
      <c r="A92" s="119"/>
      <c r="B92" s="12"/>
      <c r="C92" s="12"/>
      <c r="D92" s="13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>
      <c r="A93" s="119"/>
      <c r="B93" s="12"/>
      <c r="C93" s="12"/>
      <c r="D93" s="13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>
      <c r="A94" s="119"/>
      <c r="B94" s="12"/>
      <c r="C94" s="12"/>
      <c r="D94" s="13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>
      <c r="A95" s="119"/>
      <c r="B95" s="12"/>
      <c r="C95" s="12"/>
      <c r="D95" s="13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>
      <c r="A96" s="119"/>
      <c r="B96" s="12"/>
      <c r="C96" s="12"/>
      <c r="D96" s="13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>
      <c r="A97" s="119"/>
      <c r="B97" s="12"/>
      <c r="C97" s="12"/>
      <c r="D97" s="13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>
      <c r="A98" s="119"/>
      <c r="B98" s="12"/>
      <c r="C98" s="12"/>
      <c r="D98" s="13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>
      <c r="A99" s="119"/>
      <c r="B99" s="12"/>
      <c r="C99" s="12"/>
      <c r="D99" s="13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>
      <c r="A100" s="119"/>
      <c r="B100" s="12"/>
      <c r="C100" s="12"/>
      <c r="D100" s="13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A101" s="119"/>
      <c r="B101" s="12"/>
      <c r="C101" s="12"/>
      <c r="D101" s="13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A102" s="119"/>
      <c r="B102" s="12"/>
      <c r="C102" s="12"/>
      <c r="D102" s="13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A103" s="119"/>
      <c r="B103" s="12"/>
      <c r="C103" s="12"/>
      <c r="D103" s="13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A104" s="119"/>
      <c r="B104" s="12"/>
      <c r="C104" s="12"/>
      <c r="D104" s="13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A105" s="119"/>
      <c r="B105" s="12"/>
      <c r="C105" s="12"/>
      <c r="D105" s="13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A106" s="119"/>
      <c r="B106" s="12"/>
      <c r="C106" s="12"/>
      <c r="D106" s="13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A107" s="119"/>
      <c r="B107" s="12"/>
      <c r="C107" s="12"/>
      <c r="D107" s="13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A108" s="119"/>
      <c r="B108" s="12"/>
      <c r="C108" s="12"/>
      <c r="D108" s="13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A109" s="119"/>
      <c r="B109" s="12"/>
      <c r="C109" s="12"/>
      <c r="D109" s="13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A110" s="119"/>
      <c r="B110" s="12"/>
      <c r="C110" s="12"/>
      <c r="D110" s="13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A111" s="119"/>
      <c r="B111" s="12"/>
      <c r="C111" s="12"/>
      <c r="D111" s="13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A112" s="119"/>
      <c r="B112" s="12"/>
      <c r="C112" s="12"/>
      <c r="D112" s="13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A113" s="119"/>
      <c r="B113" s="12"/>
      <c r="C113" s="12"/>
      <c r="D113" s="13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A114" s="119"/>
      <c r="B114" s="12"/>
      <c r="C114" s="12"/>
      <c r="D114" s="13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A115" s="119"/>
      <c r="B115" s="12"/>
      <c r="C115" s="12"/>
      <c r="D115" s="13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A116" s="119"/>
      <c r="B116" s="12"/>
      <c r="C116" s="12"/>
      <c r="D116" s="13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A117" s="119"/>
      <c r="B117" s="12"/>
      <c r="C117" s="12"/>
      <c r="D117" s="13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A118" s="119"/>
      <c r="B118" s="12"/>
      <c r="C118" s="12"/>
      <c r="D118" s="13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A119" s="119"/>
      <c r="B119" s="12"/>
      <c r="C119" s="12"/>
      <c r="D119" s="13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A120" s="119"/>
      <c r="B120" s="12"/>
      <c r="C120" s="12"/>
      <c r="D120" s="13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A121" s="119"/>
      <c r="B121" s="12"/>
      <c r="C121" s="12"/>
      <c r="D121" s="13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A122" s="119"/>
      <c r="B122" s="12"/>
      <c r="C122" s="12"/>
      <c r="D122" s="13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A123" s="119"/>
      <c r="B123" s="12"/>
      <c r="C123" s="12"/>
      <c r="D123" s="13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A124" s="119"/>
      <c r="B124" s="12"/>
      <c r="C124" s="12"/>
      <c r="D124" s="13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A125" s="119"/>
      <c r="B125" s="12"/>
      <c r="C125" s="12"/>
      <c r="D125" s="13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A126" s="119"/>
      <c r="B126" s="12"/>
      <c r="C126" s="12"/>
      <c r="D126" s="13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A127" s="119"/>
      <c r="B127" s="12"/>
      <c r="C127" s="12"/>
      <c r="D127" s="13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A128" s="119"/>
      <c r="B128" s="12"/>
      <c r="C128" s="12"/>
      <c r="D128" s="13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A129" s="119"/>
      <c r="B129" s="12"/>
      <c r="C129" s="12"/>
      <c r="D129" s="13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A130" s="119"/>
      <c r="B130" s="12"/>
      <c r="C130" s="12"/>
      <c r="D130" s="13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A131" s="119"/>
      <c r="B131" s="12"/>
      <c r="C131" s="12"/>
      <c r="D131" s="13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A132" s="119"/>
      <c r="B132" s="12"/>
      <c r="C132" s="12"/>
      <c r="D132" s="13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A133" s="119"/>
      <c r="B133" s="12"/>
      <c r="C133" s="12"/>
      <c r="D133" s="13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A134" s="119"/>
      <c r="B134" s="12"/>
      <c r="C134" s="12"/>
      <c r="D134" s="13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A135" s="119"/>
      <c r="B135" s="12"/>
      <c r="C135" s="12"/>
      <c r="D135" s="13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A136" s="119"/>
      <c r="B136" s="12"/>
      <c r="C136" s="12"/>
      <c r="D136" s="13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A137" s="119"/>
      <c r="B137" s="12"/>
      <c r="C137" s="12"/>
      <c r="D137" s="13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A138" s="119"/>
      <c r="B138" s="12"/>
      <c r="C138" s="12"/>
      <c r="D138" s="13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A139" s="119"/>
      <c r="B139" s="12"/>
      <c r="C139" s="12"/>
      <c r="D139" s="13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A140" s="119"/>
      <c r="B140" s="12"/>
      <c r="C140" s="12"/>
      <c r="D140" s="13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A141" s="119"/>
      <c r="B141" s="12"/>
      <c r="C141" s="12"/>
      <c r="D141" s="13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A142" s="119"/>
      <c r="B142" s="12"/>
      <c r="C142" s="12"/>
      <c r="D142" s="13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A143" s="119"/>
      <c r="B143" s="12"/>
      <c r="C143" s="12"/>
      <c r="D143" s="13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A144" s="119"/>
      <c r="B144" s="12"/>
      <c r="C144" s="12"/>
      <c r="D144" s="13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A145" s="119"/>
      <c r="B145" s="12"/>
      <c r="C145" s="12"/>
      <c r="D145" s="13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A146" s="119"/>
      <c r="B146" s="12"/>
      <c r="C146" s="12"/>
      <c r="D146" s="13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A147" s="119"/>
      <c r="B147" s="12"/>
      <c r="C147" s="12"/>
      <c r="D147" s="13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A148" s="119"/>
      <c r="B148" s="12"/>
      <c r="C148" s="12"/>
      <c r="D148" s="13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A149" s="119"/>
      <c r="B149" s="12"/>
      <c r="C149" s="12"/>
      <c r="D149" s="13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A150" s="119"/>
      <c r="B150" s="12"/>
      <c r="C150" s="12"/>
      <c r="D150" s="13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A151" s="119"/>
      <c r="B151" s="12"/>
      <c r="C151" s="12"/>
      <c r="D151" s="13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A152" s="119"/>
      <c r="B152" s="12"/>
      <c r="C152" s="12"/>
      <c r="D152" s="13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A153" s="119"/>
      <c r="B153" s="12"/>
      <c r="C153" s="12"/>
      <c r="D153" s="13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A154" s="119"/>
      <c r="B154" s="12"/>
      <c r="C154" s="12"/>
      <c r="D154" s="13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A155" s="119"/>
      <c r="B155" s="12"/>
      <c r="C155" s="12"/>
      <c r="D155" s="13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A156" s="119"/>
      <c r="B156" s="12"/>
      <c r="C156" s="12"/>
      <c r="D156" s="13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A157" s="119"/>
      <c r="B157" s="12"/>
      <c r="C157" s="12"/>
      <c r="D157" s="13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A158" s="119"/>
      <c r="B158" s="12"/>
      <c r="C158" s="12"/>
      <c r="D158" s="13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A159" s="119"/>
      <c r="B159" s="12"/>
      <c r="C159" s="12"/>
      <c r="D159" s="13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A160" s="119"/>
      <c r="B160" s="12"/>
      <c r="C160" s="12"/>
      <c r="D160" s="13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A161" s="119"/>
      <c r="B161" s="12"/>
      <c r="C161" s="12"/>
      <c r="D161" s="13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A162" s="119"/>
      <c r="B162" s="12"/>
      <c r="C162" s="12"/>
      <c r="D162" s="13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A163" s="119"/>
      <c r="B163" s="12"/>
      <c r="C163" s="12"/>
      <c r="D163" s="13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A164" s="119"/>
      <c r="B164" s="12"/>
      <c r="C164" s="12"/>
      <c r="D164" s="13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A165" s="119"/>
      <c r="B165" s="12"/>
      <c r="C165" s="12"/>
      <c r="D165" s="13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A166" s="119"/>
      <c r="B166" s="12"/>
      <c r="C166" s="12"/>
      <c r="D166" s="13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A167" s="119"/>
      <c r="B167" s="12"/>
      <c r="C167" s="12"/>
      <c r="D167" s="13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A168" s="119"/>
      <c r="B168" s="12"/>
      <c r="C168" s="12"/>
      <c r="D168" s="13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A169" s="119"/>
      <c r="B169" s="12"/>
      <c r="C169" s="12"/>
      <c r="D169" s="13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A170" s="119"/>
      <c r="B170" s="12"/>
      <c r="C170" s="12"/>
      <c r="D170" s="13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A171" s="119"/>
      <c r="B171" s="12"/>
      <c r="C171" s="12"/>
      <c r="D171" s="13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A172" s="119"/>
      <c r="B172" s="12"/>
      <c r="C172" s="12"/>
      <c r="D172" s="13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A173" s="119"/>
      <c r="B173" s="12"/>
      <c r="C173" s="12"/>
      <c r="D173" s="13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A174" s="119"/>
      <c r="B174" s="12"/>
      <c r="C174" s="12"/>
      <c r="D174" s="13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A175" s="119"/>
      <c r="B175" s="12"/>
      <c r="C175" s="12"/>
      <c r="D175" s="13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A176" s="119"/>
      <c r="B176" s="12"/>
      <c r="C176" s="12"/>
      <c r="D176" s="13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A177" s="119"/>
      <c r="B177" s="12"/>
      <c r="C177" s="12"/>
      <c r="D177" s="13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A178" s="119"/>
      <c r="B178" s="12"/>
      <c r="C178" s="12"/>
      <c r="D178" s="13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A179" s="119"/>
      <c r="B179" s="12"/>
      <c r="C179" s="12"/>
      <c r="D179" s="13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A180" s="119"/>
      <c r="B180" s="12"/>
      <c r="C180" s="12"/>
      <c r="D180" s="13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A181" s="119"/>
      <c r="B181" s="12"/>
      <c r="C181" s="12"/>
      <c r="D181" s="13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A182" s="119"/>
      <c r="B182" s="12"/>
      <c r="C182" s="12"/>
      <c r="D182" s="13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A183" s="119"/>
      <c r="B183" s="12"/>
      <c r="C183" s="12"/>
      <c r="D183" s="13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>
      <c r="A184" s="119"/>
      <c r="B184" s="12"/>
      <c r="C184" s="12"/>
      <c r="D184" s="13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>
      <c r="A185" s="119"/>
      <c r="B185" s="12"/>
      <c r="C185" s="12"/>
      <c r="D185" s="13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>
      <c r="A186" s="119"/>
      <c r="B186" s="12"/>
      <c r="C186" s="12"/>
      <c r="D186" s="13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>
      <c r="A187" s="119"/>
      <c r="B187" s="12"/>
      <c r="C187" s="12"/>
      <c r="D187" s="13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>
      <c r="A188" s="119"/>
      <c r="B188" s="12"/>
      <c r="C188" s="12"/>
      <c r="D188" s="13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>
      <c r="A189" s="119"/>
      <c r="B189" s="12"/>
      <c r="C189" s="12"/>
      <c r="D189" s="13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>
      <c r="A190" s="119"/>
      <c r="B190" s="12"/>
      <c r="C190" s="12"/>
      <c r="D190" s="13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>
      <c r="A191" s="119"/>
      <c r="B191" s="12"/>
      <c r="C191" s="12"/>
      <c r="D191" s="13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>
      <c r="A192" s="119"/>
      <c r="B192" s="12"/>
      <c r="C192" s="12"/>
      <c r="D192" s="13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>
      <c r="A193" s="119"/>
      <c r="B193" s="12"/>
      <c r="C193" s="12"/>
      <c r="D193" s="13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>
      <c r="A194" s="119"/>
      <c r="B194" s="12"/>
      <c r="C194" s="12"/>
      <c r="D194" s="13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>
      <c r="A195" s="119"/>
      <c r="B195" s="12"/>
      <c r="C195" s="12"/>
      <c r="D195" s="13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>
      <c r="A196" s="119"/>
      <c r="B196" s="12"/>
      <c r="C196" s="12"/>
      <c r="D196" s="13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>
      <c r="A197" s="119"/>
      <c r="B197" s="12"/>
      <c r="C197" s="12"/>
      <c r="D197" s="13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>
      <c r="A198" s="119"/>
      <c r="B198" s="12"/>
      <c r="C198" s="12"/>
      <c r="D198" s="13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>
      <c r="A199" s="119"/>
      <c r="B199" s="12"/>
      <c r="C199" s="12"/>
      <c r="D199" s="13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>
      <c r="A200" s="119"/>
      <c r="B200" s="12"/>
      <c r="C200" s="12"/>
      <c r="D200" s="13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>
      <c r="A201" s="119"/>
      <c r="B201" s="12"/>
      <c r="C201" s="12"/>
      <c r="D201" s="13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>
      <c r="A202" s="119"/>
      <c r="B202" s="12"/>
      <c r="C202" s="12"/>
      <c r="D202" s="13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>
      <c r="A203" s="119"/>
      <c r="B203" s="12"/>
      <c r="C203" s="12"/>
      <c r="D203" s="13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>
      <c r="A204" s="119"/>
      <c r="B204" s="12"/>
      <c r="C204" s="12"/>
      <c r="D204" s="13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>
      <c r="A205" s="119"/>
      <c r="B205" s="12"/>
      <c r="C205" s="12"/>
      <c r="D205" s="13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>
      <c r="A206" s="119"/>
      <c r="B206" s="12"/>
      <c r="C206" s="12"/>
      <c r="D206" s="13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>
      <c r="A207" s="119"/>
      <c r="B207" s="12"/>
      <c r="C207" s="12"/>
      <c r="D207" s="13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>
      <c r="A208" s="119"/>
      <c r="B208" s="12"/>
      <c r="C208" s="12"/>
      <c r="D208" s="13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>
      <c r="A209" s="119"/>
      <c r="B209" s="12"/>
      <c r="C209" s="12"/>
      <c r="D209" s="13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>
      <c r="A210" s="119"/>
      <c r="B210" s="12"/>
      <c r="C210" s="12"/>
      <c r="D210" s="13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>
      <c r="A211" s="119"/>
      <c r="B211" s="12"/>
      <c r="C211" s="12"/>
      <c r="D211" s="13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>
      <c r="A212" s="119"/>
      <c r="B212" s="12"/>
      <c r="C212" s="12"/>
      <c r="D212" s="13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>
      <c r="A213" s="119"/>
      <c r="B213" s="12"/>
      <c r="C213" s="12"/>
      <c r="D213" s="13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>
      <c r="A214" s="119"/>
      <c r="B214" s="12"/>
      <c r="C214" s="12"/>
      <c r="D214" s="13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>
      <c r="A215" s="119"/>
      <c r="B215" s="12"/>
      <c r="C215" s="12"/>
      <c r="D215" s="13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A216" s="119"/>
      <c r="B216" s="12"/>
      <c r="C216" s="12"/>
      <c r="D216" s="13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A217" s="119"/>
      <c r="B217" s="12"/>
      <c r="C217" s="12"/>
      <c r="D217" s="13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A218" s="119"/>
      <c r="B218" s="12"/>
      <c r="C218" s="12"/>
      <c r="D218" s="13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A219" s="119"/>
      <c r="B219" s="12"/>
      <c r="C219" s="12"/>
      <c r="D219" s="13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A220" s="119"/>
      <c r="B220" s="12"/>
      <c r="C220" s="12"/>
      <c r="D220" s="13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A221" s="119"/>
      <c r="B221" s="12"/>
      <c r="C221" s="12"/>
      <c r="D221" s="13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A222" s="119"/>
      <c r="B222" s="12"/>
      <c r="C222" s="12"/>
      <c r="D222" s="13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A223" s="119"/>
      <c r="B223" s="12"/>
      <c r="C223" s="12"/>
      <c r="D223" s="13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A224" s="119"/>
      <c r="B224" s="12"/>
      <c r="C224" s="12"/>
      <c r="D224" s="13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A225" s="119"/>
      <c r="B225" s="12"/>
      <c r="C225" s="12"/>
      <c r="D225" s="13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A226" s="119"/>
      <c r="B226" s="12"/>
      <c r="C226" s="12"/>
      <c r="D226" s="13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A227" s="119"/>
      <c r="B227" s="12"/>
      <c r="C227" s="12"/>
      <c r="D227" s="13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A228" s="119"/>
      <c r="B228" s="12"/>
      <c r="C228" s="12"/>
      <c r="D228" s="13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A229" s="119"/>
      <c r="B229" s="12"/>
      <c r="C229" s="12"/>
      <c r="D229" s="13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A230" s="119"/>
      <c r="B230" s="12"/>
      <c r="C230" s="12"/>
      <c r="D230" s="13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A231" s="119"/>
      <c r="B231" s="12"/>
      <c r="C231" s="12"/>
      <c r="D231" s="13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A232" s="119"/>
      <c r="B232" s="12"/>
      <c r="C232" s="12"/>
      <c r="D232" s="13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A233" s="119"/>
      <c r="B233" s="12"/>
      <c r="C233" s="12"/>
      <c r="D233" s="13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A234" s="119"/>
      <c r="B234" s="12"/>
      <c r="C234" s="12"/>
      <c r="D234" s="13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A235" s="119"/>
      <c r="B235" s="12"/>
      <c r="C235" s="12"/>
      <c r="D235" s="13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A236" s="119"/>
      <c r="B236" s="12"/>
      <c r="C236" s="12"/>
      <c r="D236" s="13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A237" s="119"/>
      <c r="B237" s="12"/>
      <c r="C237" s="12"/>
      <c r="D237" s="13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A238" s="119"/>
      <c r="B238" s="12"/>
      <c r="C238" s="12"/>
      <c r="D238" s="13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A239" s="119"/>
      <c r="B239" s="12"/>
      <c r="C239" s="12"/>
      <c r="D239" s="13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A240" s="119"/>
      <c r="B240" s="12"/>
      <c r="C240" s="12"/>
      <c r="D240" s="13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A241" s="119"/>
      <c r="B241" s="12"/>
      <c r="C241" s="12"/>
      <c r="D241" s="13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A242" s="119"/>
      <c r="B242" s="12"/>
      <c r="C242" s="12"/>
      <c r="D242" s="13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A243" s="119"/>
      <c r="B243" s="12"/>
      <c r="C243" s="12"/>
      <c r="D243" s="13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A244" s="119"/>
      <c r="B244" s="12"/>
      <c r="C244" s="12"/>
      <c r="D244" s="13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A245" s="119"/>
      <c r="B245" s="12"/>
      <c r="C245" s="12"/>
      <c r="D245" s="13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A246" s="119"/>
      <c r="B246" s="12"/>
      <c r="C246" s="12"/>
      <c r="D246" s="13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A247" s="119"/>
      <c r="B247" s="12"/>
      <c r="C247" s="12"/>
      <c r="D247" s="13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A248" s="119"/>
      <c r="B248" s="12"/>
      <c r="C248" s="12"/>
      <c r="D248" s="13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A249" s="119"/>
      <c r="B249" s="12"/>
      <c r="C249" s="12"/>
      <c r="D249" s="13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A250" s="119"/>
      <c r="B250" s="12"/>
      <c r="C250" s="12"/>
      <c r="D250" s="13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A251" s="119"/>
      <c r="B251" s="12"/>
      <c r="C251" s="12"/>
      <c r="D251" s="13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A252" s="119"/>
      <c r="B252" s="12"/>
      <c r="C252" s="12"/>
      <c r="D252" s="13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>
      <c r="A253" s="119"/>
      <c r="B253" s="12"/>
      <c r="C253" s="12"/>
      <c r="D253" s="13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>
      <c r="A254" s="119"/>
      <c r="B254" s="12"/>
      <c r="C254" s="12"/>
      <c r="D254" s="13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>
      <c r="A255" s="119"/>
      <c r="B255" s="12"/>
      <c r="C255" s="12"/>
      <c r="D255" s="13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>
      <c r="A256" s="119"/>
      <c r="B256" s="12"/>
      <c r="C256" s="12"/>
      <c r="D256" s="13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>
      <c r="A257" s="119"/>
      <c r="B257" s="12"/>
      <c r="C257" s="12"/>
      <c r="D257" s="13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>
      <c r="A258" s="119"/>
      <c r="B258" s="12"/>
      <c r="C258" s="12"/>
      <c r="D258" s="13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>
      <c r="A259" s="119"/>
      <c r="B259" s="12"/>
      <c r="C259" s="12"/>
      <c r="D259" s="13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>
      <c r="A260" s="119"/>
      <c r="B260" s="12"/>
      <c r="C260" s="12"/>
      <c r="D260" s="13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>
      <c r="A261" s="119"/>
      <c r="B261" s="12"/>
      <c r="C261" s="12"/>
      <c r="D261" s="13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>
      <c r="A262" s="119"/>
      <c r="B262" s="12"/>
      <c r="C262" s="12"/>
      <c r="D262" s="13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>
      <c r="A263" s="119"/>
      <c r="B263" s="12"/>
      <c r="C263" s="12"/>
      <c r="D263" s="13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>
      <c r="A264" s="119"/>
      <c r="B264" s="12"/>
      <c r="C264" s="12"/>
      <c r="D264" s="13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>
      <c r="A265" s="119"/>
      <c r="B265" s="12"/>
      <c r="C265" s="12"/>
      <c r="D265" s="13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>
      <c r="A266" s="119"/>
      <c r="B266" s="12"/>
      <c r="C266" s="12"/>
      <c r="D266" s="13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>
      <c r="A267" s="119"/>
      <c r="B267" s="12"/>
      <c r="C267" s="12"/>
      <c r="D267" s="13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>
      <c r="A268" s="119"/>
      <c r="B268" s="12"/>
      <c r="C268" s="12"/>
      <c r="D268" s="13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>
      <c r="A269" s="119"/>
      <c r="B269" s="12"/>
      <c r="C269" s="12"/>
      <c r="D269" s="13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>
      <c r="A270" s="119"/>
      <c r="B270" s="12"/>
      <c r="C270" s="12"/>
      <c r="D270" s="13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>
      <c r="A271" s="119"/>
      <c r="B271" s="12"/>
      <c r="C271" s="12"/>
      <c r="D271" s="13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>
      <c r="A272" s="119"/>
      <c r="B272" s="12"/>
      <c r="C272" s="12"/>
      <c r="D272" s="13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>
      <c r="A273" s="119"/>
      <c r="B273" s="12"/>
      <c r="C273" s="12"/>
      <c r="D273" s="13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>
      <c r="A274" s="119"/>
      <c r="B274" s="12"/>
      <c r="C274" s="12"/>
      <c r="D274" s="13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>
      <c r="A275" s="119"/>
      <c r="B275" s="12"/>
      <c r="C275" s="12"/>
      <c r="D275" s="13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>
      <c r="A276" s="119"/>
      <c r="B276" s="12"/>
      <c r="C276" s="12"/>
      <c r="D276" s="13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>
      <c r="A277" s="119"/>
      <c r="B277" s="12"/>
      <c r="C277" s="12"/>
      <c r="D277" s="13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>
      <c r="A278" s="119"/>
      <c r="B278" s="12"/>
      <c r="C278" s="12"/>
      <c r="D278" s="13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>
      <c r="A279" s="119"/>
      <c r="B279" s="12"/>
      <c r="C279" s="12"/>
      <c r="D279" s="13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>
      <c r="A280" s="119"/>
      <c r="B280" s="12"/>
      <c r="C280" s="12"/>
      <c r="D280" s="13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>
      <c r="A281" s="119"/>
      <c r="B281" s="12"/>
      <c r="C281" s="12"/>
      <c r="D281" s="13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>
      <c r="A282" s="119"/>
      <c r="B282" s="12"/>
      <c r="C282" s="12"/>
      <c r="D282" s="13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>
      <c r="A283" s="119"/>
      <c r="B283" s="12"/>
      <c r="C283" s="12"/>
      <c r="D283" s="13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>
      <c r="A284" s="119"/>
      <c r="B284" s="12"/>
      <c r="C284" s="12"/>
      <c r="D284" s="13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>
      <c r="A285" s="119"/>
      <c r="B285" s="12"/>
      <c r="C285" s="12"/>
      <c r="D285" s="13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>
      <c r="A286" s="119"/>
      <c r="B286" s="12"/>
      <c r="C286" s="12"/>
      <c r="D286" s="13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>
      <c r="A287" s="119"/>
      <c r="B287" s="12"/>
      <c r="C287" s="12"/>
      <c r="D287" s="13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>
      <c r="A288" s="119"/>
      <c r="B288" s="12"/>
      <c r="C288" s="12"/>
      <c r="D288" s="13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>
      <c r="A289" s="119"/>
      <c r="B289" s="12"/>
      <c r="C289" s="12"/>
      <c r="D289" s="13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>
      <c r="A290" s="119"/>
      <c r="B290" s="12"/>
      <c r="C290" s="12"/>
      <c r="D290" s="13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>
      <c r="A291" s="119"/>
      <c r="B291" s="12"/>
      <c r="C291" s="12"/>
      <c r="D291" s="13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>
      <c r="A292" s="119"/>
      <c r="B292" s="12"/>
      <c r="C292" s="12"/>
      <c r="D292" s="13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>
      <c r="A293" s="119"/>
      <c r="B293" s="12"/>
      <c r="C293" s="12"/>
      <c r="D293" s="13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>
      <c r="A294" s="119"/>
      <c r="B294" s="12"/>
      <c r="C294" s="12"/>
      <c r="D294" s="13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>
      <c r="A295" s="119"/>
      <c r="B295" s="12"/>
      <c r="C295" s="12"/>
      <c r="D295" s="13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>
      <c r="A296" s="119"/>
      <c r="B296" s="12"/>
      <c r="C296" s="12"/>
      <c r="D296" s="13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>
      <c r="A297" s="119"/>
      <c r="B297" s="12"/>
      <c r="C297" s="12"/>
      <c r="D297" s="13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>
      <c r="A298" s="119"/>
      <c r="B298" s="12"/>
      <c r="C298" s="12"/>
      <c r="D298" s="13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>
      <c r="A299" s="119"/>
      <c r="B299" s="12"/>
      <c r="C299" s="12"/>
      <c r="D299" s="13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>
      <c r="A300" s="119"/>
      <c r="B300" s="12"/>
      <c r="C300" s="12"/>
      <c r="D300" s="13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>
      <c r="A301" s="119"/>
      <c r="B301" s="12"/>
      <c r="C301" s="12"/>
      <c r="D301" s="13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>
      <c r="A302" s="119"/>
      <c r="B302" s="12"/>
      <c r="C302" s="12"/>
      <c r="D302" s="13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>
      <c r="A303" s="119"/>
      <c r="B303" s="12"/>
      <c r="C303" s="12"/>
      <c r="D303" s="13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>
      <c r="A304" s="119"/>
      <c r="B304" s="12"/>
      <c r="C304" s="12"/>
      <c r="D304" s="13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>
      <c r="A305" s="119"/>
      <c r="B305" s="12"/>
      <c r="C305" s="12"/>
      <c r="D305" s="13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>
      <c r="A306" s="119"/>
      <c r="B306" s="12"/>
      <c r="C306" s="12"/>
      <c r="D306" s="13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</row>
    <row r="307">
      <c r="A307" s="119"/>
      <c r="B307" s="12"/>
      <c r="C307" s="12"/>
      <c r="D307" s="13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</row>
    <row r="308">
      <c r="A308" s="119"/>
      <c r="B308" s="12"/>
      <c r="C308" s="12"/>
      <c r="D308" s="13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>
      <c r="A309" s="119"/>
      <c r="B309" s="12"/>
      <c r="C309" s="12"/>
      <c r="D309" s="13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</row>
    <row r="310">
      <c r="A310" s="119"/>
      <c r="B310" s="12"/>
      <c r="C310" s="12"/>
      <c r="D310" s="13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</row>
    <row r="311">
      <c r="A311" s="119"/>
      <c r="B311" s="12"/>
      <c r="C311" s="12"/>
      <c r="D311" s="13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>
      <c r="A312" s="119"/>
      <c r="B312" s="12"/>
      <c r="C312" s="12"/>
      <c r="D312" s="13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>
      <c r="A313" s="119"/>
      <c r="B313" s="12"/>
      <c r="C313" s="12"/>
      <c r="D313" s="13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>
      <c r="A314" s="119"/>
      <c r="B314" s="12"/>
      <c r="C314" s="12"/>
      <c r="D314" s="13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>
      <c r="A315" s="119"/>
      <c r="B315" s="12"/>
      <c r="C315" s="12"/>
      <c r="D315" s="13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>
      <c r="A316" s="119"/>
      <c r="B316" s="12"/>
      <c r="C316" s="12"/>
      <c r="D316" s="13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>
      <c r="A317" s="119"/>
      <c r="B317" s="12"/>
      <c r="C317" s="12"/>
      <c r="D317" s="13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>
      <c r="A318" s="119"/>
      <c r="B318" s="12"/>
      <c r="C318" s="12"/>
      <c r="D318" s="13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>
      <c r="A319" s="119"/>
      <c r="B319" s="12"/>
      <c r="C319" s="12"/>
      <c r="D319" s="13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>
      <c r="A320" s="119"/>
      <c r="B320" s="12"/>
      <c r="C320" s="12"/>
      <c r="D320" s="13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>
      <c r="A321" s="119"/>
      <c r="B321" s="12"/>
      <c r="C321" s="12"/>
      <c r="D321" s="13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</row>
    <row r="322">
      <c r="A322" s="119"/>
      <c r="B322" s="12"/>
      <c r="C322" s="12"/>
      <c r="D322" s="13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</row>
    <row r="323">
      <c r="A323" s="119"/>
      <c r="B323" s="12"/>
      <c r="C323" s="12"/>
      <c r="D323" s="13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</row>
    <row r="324">
      <c r="A324" s="119"/>
      <c r="B324" s="12"/>
      <c r="C324" s="12"/>
      <c r="D324" s="13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</row>
    <row r="325">
      <c r="A325" s="119"/>
      <c r="B325" s="12"/>
      <c r="C325" s="12"/>
      <c r="D325" s="13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</row>
    <row r="326">
      <c r="A326" s="119"/>
      <c r="B326" s="12"/>
      <c r="C326" s="12"/>
      <c r="D326" s="13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</row>
    <row r="327">
      <c r="A327" s="119"/>
      <c r="B327" s="12"/>
      <c r="C327" s="12"/>
      <c r="D327" s="13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</row>
    <row r="328">
      <c r="A328" s="119"/>
      <c r="B328" s="12"/>
      <c r="C328" s="12"/>
      <c r="D328" s="13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</row>
    <row r="329">
      <c r="A329" s="119"/>
      <c r="B329" s="12"/>
      <c r="C329" s="12"/>
      <c r="D329" s="13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</row>
    <row r="330">
      <c r="A330" s="119"/>
      <c r="B330" s="12"/>
      <c r="C330" s="12"/>
      <c r="D330" s="13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</row>
    <row r="331">
      <c r="A331" s="119"/>
      <c r="B331" s="12"/>
      <c r="C331" s="12"/>
      <c r="D331" s="13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>
      <c r="A332" s="119"/>
      <c r="B332" s="12"/>
      <c r="C332" s="12"/>
      <c r="D332" s="13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>
      <c r="A333" s="119"/>
      <c r="B333" s="12"/>
      <c r="C333" s="12"/>
      <c r="D333" s="13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>
      <c r="A334" s="119"/>
      <c r="B334" s="12"/>
      <c r="C334" s="12"/>
      <c r="D334" s="13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>
      <c r="A335" s="119"/>
      <c r="B335" s="12"/>
      <c r="C335" s="12"/>
      <c r="D335" s="13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>
      <c r="A336" s="119"/>
      <c r="B336" s="12"/>
      <c r="C336" s="12"/>
      <c r="D336" s="13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>
      <c r="A337" s="119"/>
      <c r="B337" s="12"/>
      <c r="C337" s="12"/>
      <c r="D337" s="13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>
      <c r="A338" s="119"/>
      <c r="B338" s="12"/>
      <c r="C338" s="12"/>
      <c r="D338" s="13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</row>
    <row r="339">
      <c r="A339" s="119"/>
      <c r="B339" s="12"/>
      <c r="C339" s="12"/>
      <c r="D339" s="13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</row>
    <row r="340">
      <c r="A340" s="119"/>
      <c r="B340" s="12"/>
      <c r="C340" s="12"/>
      <c r="D340" s="13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</row>
    <row r="341">
      <c r="A341" s="119"/>
      <c r="B341" s="12"/>
      <c r="C341" s="12"/>
      <c r="D341" s="13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</row>
    <row r="342">
      <c r="A342" s="119"/>
      <c r="B342" s="12"/>
      <c r="C342" s="12"/>
      <c r="D342" s="13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</row>
    <row r="343">
      <c r="A343" s="119"/>
      <c r="B343" s="12"/>
      <c r="C343" s="12"/>
      <c r="D343" s="13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</row>
    <row r="344">
      <c r="A344" s="119"/>
      <c r="B344" s="12"/>
      <c r="C344" s="12"/>
      <c r="D344" s="13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</row>
    <row r="345">
      <c r="A345" s="119"/>
      <c r="B345" s="12"/>
      <c r="C345" s="12"/>
      <c r="D345" s="13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</row>
    <row r="346">
      <c r="A346" s="119"/>
      <c r="B346" s="12"/>
      <c r="C346" s="12"/>
      <c r="D346" s="13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</row>
    <row r="347">
      <c r="A347" s="119"/>
      <c r="B347" s="12"/>
      <c r="C347" s="12"/>
      <c r="D347" s="13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</row>
    <row r="348">
      <c r="A348" s="119"/>
      <c r="B348" s="12"/>
      <c r="C348" s="12"/>
      <c r="D348" s="13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</row>
    <row r="349">
      <c r="A349" s="119"/>
      <c r="B349" s="12"/>
      <c r="C349" s="12"/>
      <c r="D349" s="13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</row>
    <row r="350">
      <c r="A350" s="119"/>
      <c r="B350" s="12"/>
      <c r="C350" s="12"/>
      <c r="D350" s="13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</row>
    <row r="351">
      <c r="A351" s="119"/>
      <c r="B351" s="12"/>
      <c r="C351" s="12"/>
      <c r="D351" s="13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</row>
    <row r="352">
      <c r="A352" s="119"/>
      <c r="B352" s="12"/>
      <c r="C352" s="12"/>
      <c r="D352" s="13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</row>
    <row r="353">
      <c r="A353" s="119"/>
      <c r="B353" s="12"/>
      <c r="C353" s="12"/>
      <c r="D353" s="13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</row>
    <row r="354">
      <c r="A354" s="119"/>
      <c r="B354" s="12"/>
      <c r="C354" s="12"/>
      <c r="D354" s="13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</row>
    <row r="355">
      <c r="A355" s="119"/>
      <c r="B355" s="12"/>
      <c r="C355" s="12"/>
      <c r="D355" s="13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</row>
    <row r="356">
      <c r="A356" s="119"/>
      <c r="B356" s="12"/>
      <c r="C356" s="12"/>
      <c r="D356" s="13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</row>
    <row r="357">
      <c r="A357" s="119"/>
      <c r="B357" s="12"/>
      <c r="C357" s="12"/>
      <c r="D357" s="13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</row>
    <row r="358">
      <c r="A358" s="119"/>
      <c r="B358" s="12"/>
      <c r="C358" s="12"/>
      <c r="D358" s="13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</row>
    <row r="359">
      <c r="A359" s="119"/>
      <c r="B359" s="12"/>
      <c r="C359" s="12"/>
      <c r="D359" s="13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</row>
    <row r="360">
      <c r="A360" s="119"/>
      <c r="B360" s="12"/>
      <c r="C360" s="12"/>
      <c r="D360" s="13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</row>
    <row r="361">
      <c r="A361" s="119"/>
      <c r="B361" s="12"/>
      <c r="C361" s="12"/>
      <c r="D361" s="13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</row>
    <row r="362">
      <c r="A362" s="119"/>
      <c r="B362" s="12"/>
      <c r="C362" s="12"/>
      <c r="D362" s="13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</row>
    <row r="363">
      <c r="A363" s="119"/>
      <c r="B363" s="12"/>
      <c r="C363" s="12"/>
      <c r="D363" s="13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</row>
    <row r="364">
      <c r="A364" s="119"/>
      <c r="B364" s="12"/>
      <c r="C364" s="12"/>
      <c r="D364" s="13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</row>
    <row r="365">
      <c r="A365" s="119"/>
      <c r="B365" s="12"/>
      <c r="C365" s="12"/>
      <c r="D365" s="13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</row>
    <row r="366">
      <c r="A366" s="119"/>
      <c r="B366" s="12"/>
      <c r="C366" s="12"/>
      <c r="D366" s="13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>
      <c r="A367" s="119"/>
      <c r="B367" s="12"/>
      <c r="C367" s="12"/>
      <c r="D367" s="13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>
      <c r="A368" s="119"/>
      <c r="B368" s="12"/>
      <c r="C368" s="12"/>
      <c r="D368" s="13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>
      <c r="A369" s="119"/>
      <c r="B369" s="12"/>
      <c r="C369" s="12"/>
      <c r="D369" s="13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>
      <c r="A370" s="119"/>
      <c r="B370" s="12"/>
      <c r="C370" s="12"/>
      <c r="D370" s="13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>
      <c r="A371" s="119"/>
      <c r="B371" s="12"/>
      <c r="C371" s="12"/>
      <c r="D371" s="13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>
      <c r="A372" s="119"/>
      <c r="B372" s="12"/>
      <c r="C372" s="12"/>
      <c r="D372" s="13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>
      <c r="A373" s="119"/>
      <c r="B373" s="12"/>
      <c r="C373" s="12"/>
      <c r="D373" s="13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>
      <c r="A374" s="119"/>
      <c r="B374" s="12"/>
      <c r="C374" s="12"/>
      <c r="D374" s="13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>
      <c r="A375" s="119"/>
      <c r="B375" s="12"/>
      <c r="C375" s="12"/>
      <c r="D375" s="13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>
      <c r="A376" s="119"/>
      <c r="B376" s="12"/>
      <c r="C376" s="12"/>
      <c r="D376" s="13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>
      <c r="A377" s="119"/>
      <c r="B377" s="12"/>
      <c r="C377" s="12"/>
      <c r="D377" s="13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>
      <c r="A378" s="119"/>
      <c r="B378" s="12"/>
      <c r="C378" s="12"/>
      <c r="D378" s="13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>
      <c r="A379" s="119"/>
      <c r="B379" s="12"/>
      <c r="C379" s="12"/>
      <c r="D379" s="13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>
      <c r="A380" s="119"/>
      <c r="B380" s="12"/>
      <c r="C380" s="12"/>
      <c r="D380" s="13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>
      <c r="A381" s="119"/>
      <c r="B381" s="12"/>
      <c r="C381" s="12"/>
      <c r="D381" s="13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>
      <c r="A382" s="119"/>
      <c r="B382" s="12"/>
      <c r="C382" s="12"/>
      <c r="D382" s="13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>
      <c r="A383" s="119"/>
      <c r="B383" s="12"/>
      <c r="C383" s="12"/>
      <c r="D383" s="13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>
      <c r="A384" s="119"/>
      <c r="B384" s="12"/>
      <c r="C384" s="12"/>
      <c r="D384" s="13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>
      <c r="A385" s="119"/>
      <c r="B385" s="12"/>
      <c r="C385" s="12"/>
      <c r="D385" s="13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>
      <c r="A386" s="119"/>
      <c r="B386" s="12"/>
      <c r="C386" s="12"/>
      <c r="D386" s="13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>
      <c r="A387" s="119"/>
      <c r="B387" s="12"/>
      <c r="C387" s="12"/>
      <c r="D387" s="13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>
      <c r="A388" s="119"/>
      <c r="B388" s="12"/>
      <c r="C388" s="12"/>
      <c r="D388" s="13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  <row r="389">
      <c r="A389" s="119"/>
      <c r="B389" s="12"/>
      <c r="C389" s="12"/>
      <c r="D389" s="13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</row>
    <row r="390">
      <c r="A390" s="119"/>
      <c r="B390" s="12"/>
      <c r="C390" s="12"/>
      <c r="D390" s="13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</row>
    <row r="391">
      <c r="A391" s="119"/>
      <c r="B391" s="12"/>
      <c r="C391" s="12"/>
      <c r="D391" s="13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</row>
    <row r="392">
      <c r="A392" s="119"/>
      <c r="B392" s="12"/>
      <c r="C392" s="12"/>
      <c r="D392" s="13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</row>
    <row r="393">
      <c r="A393" s="119"/>
      <c r="B393" s="12"/>
      <c r="C393" s="12"/>
      <c r="D393" s="13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</row>
    <row r="394">
      <c r="A394" s="119"/>
      <c r="B394" s="12"/>
      <c r="C394" s="12"/>
      <c r="D394" s="13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</row>
    <row r="395">
      <c r="A395" s="119"/>
      <c r="B395" s="12"/>
      <c r="C395" s="12"/>
      <c r="D395" s="13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</row>
    <row r="396">
      <c r="A396" s="119"/>
      <c r="B396" s="12"/>
      <c r="C396" s="12"/>
      <c r="D396" s="13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</row>
    <row r="397">
      <c r="A397" s="119"/>
      <c r="B397" s="12"/>
      <c r="C397" s="12"/>
      <c r="D397" s="13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</row>
    <row r="398">
      <c r="A398" s="119"/>
      <c r="B398" s="12"/>
      <c r="C398" s="12"/>
      <c r="D398" s="13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</row>
    <row r="399">
      <c r="A399" s="119"/>
      <c r="B399" s="12"/>
      <c r="C399" s="12"/>
      <c r="D399" s="13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</row>
    <row r="400">
      <c r="A400" s="119"/>
      <c r="B400" s="12"/>
      <c r="C400" s="12"/>
      <c r="D400" s="13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</row>
    <row r="401">
      <c r="A401" s="119"/>
      <c r="B401" s="12"/>
      <c r="C401" s="12"/>
      <c r="D401" s="13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</row>
    <row r="402">
      <c r="A402" s="119"/>
      <c r="B402" s="12"/>
      <c r="C402" s="12"/>
      <c r="D402" s="13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</row>
    <row r="403">
      <c r="A403" s="119"/>
      <c r="B403" s="12"/>
      <c r="C403" s="12"/>
      <c r="D403" s="13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</row>
    <row r="404">
      <c r="A404" s="119"/>
      <c r="B404" s="12"/>
      <c r="C404" s="12"/>
      <c r="D404" s="13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</row>
    <row r="405">
      <c r="A405" s="119"/>
      <c r="B405" s="12"/>
      <c r="C405" s="12"/>
      <c r="D405" s="13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</row>
    <row r="406">
      <c r="A406" s="119"/>
      <c r="B406" s="12"/>
      <c r="C406" s="12"/>
      <c r="D406" s="13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</row>
    <row r="407">
      <c r="A407" s="119"/>
      <c r="B407" s="12"/>
      <c r="C407" s="12"/>
      <c r="D407" s="13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</row>
    <row r="408">
      <c r="A408" s="119"/>
      <c r="B408" s="12"/>
      <c r="C408" s="12"/>
      <c r="D408" s="13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</row>
    <row r="409">
      <c r="A409" s="119"/>
      <c r="B409" s="12"/>
      <c r="C409" s="12"/>
      <c r="D409" s="13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</row>
    <row r="410">
      <c r="A410" s="119"/>
      <c r="B410" s="12"/>
      <c r="C410" s="12"/>
      <c r="D410" s="13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</row>
    <row r="411">
      <c r="A411" s="119"/>
      <c r="B411" s="12"/>
      <c r="C411" s="12"/>
      <c r="D411" s="13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</row>
    <row r="412">
      <c r="A412" s="119"/>
      <c r="B412" s="12"/>
      <c r="C412" s="12"/>
      <c r="D412" s="13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</row>
    <row r="413">
      <c r="A413" s="119"/>
      <c r="B413" s="12"/>
      <c r="C413" s="12"/>
      <c r="D413" s="13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</row>
    <row r="414">
      <c r="A414" s="119"/>
      <c r="B414" s="12"/>
      <c r="C414" s="12"/>
      <c r="D414" s="13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</row>
    <row r="415">
      <c r="A415" s="119"/>
      <c r="B415" s="12"/>
      <c r="C415" s="12"/>
      <c r="D415" s="13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</row>
    <row r="416">
      <c r="A416" s="119"/>
      <c r="B416" s="12"/>
      <c r="C416" s="12"/>
      <c r="D416" s="13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</row>
    <row r="417">
      <c r="A417" s="119"/>
      <c r="B417" s="12"/>
      <c r="C417" s="12"/>
      <c r="D417" s="13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</row>
    <row r="418">
      <c r="A418" s="119"/>
      <c r="B418" s="12"/>
      <c r="C418" s="12"/>
      <c r="D418" s="13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</row>
    <row r="419">
      <c r="A419" s="119"/>
      <c r="B419" s="12"/>
      <c r="C419" s="12"/>
      <c r="D419" s="13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</row>
    <row r="420">
      <c r="A420" s="119"/>
      <c r="B420" s="12"/>
      <c r="C420" s="12"/>
      <c r="D420" s="13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</row>
    <row r="421">
      <c r="A421" s="119"/>
      <c r="B421" s="12"/>
      <c r="C421" s="12"/>
      <c r="D421" s="13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</row>
    <row r="422">
      <c r="A422" s="119"/>
      <c r="B422" s="12"/>
      <c r="C422" s="12"/>
      <c r="D422" s="13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</row>
    <row r="423">
      <c r="A423" s="119"/>
      <c r="B423" s="12"/>
      <c r="C423" s="12"/>
      <c r="D423" s="13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</row>
    <row r="424">
      <c r="A424" s="119"/>
      <c r="B424" s="12"/>
      <c r="C424" s="12"/>
      <c r="D424" s="13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</row>
    <row r="425">
      <c r="A425" s="119"/>
      <c r="B425" s="12"/>
      <c r="C425" s="12"/>
      <c r="D425" s="13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</row>
    <row r="426">
      <c r="A426" s="119"/>
      <c r="B426" s="12"/>
      <c r="C426" s="12"/>
      <c r="D426" s="13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</row>
    <row r="427">
      <c r="A427" s="119"/>
      <c r="B427" s="12"/>
      <c r="C427" s="12"/>
      <c r="D427" s="13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</row>
    <row r="428">
      <c r="A428" s="119"/>
      <c r="B428" s="12"/>
      <c r="C428" s="12"/>
      <c r="D428" s="13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</row>
    <row r="429">
      <c r="A429" s="119"/>
      <c r="B429" s="12"/>
      <c r="C429" s="12"/>
      <c r="D429" s="13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</row>
    <row r="430">
      <c r="A430" s="119"/>
      <c r="B430" s="12"/>
      <c r="C430" s="12"/>
      <c r="D430" s="13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</row>
    <row r="431">
      <c r="A431" s="119"/>
      <c r="B431" s="12"/>
      <c r="C431" s="12"/>
      <c r="D431" s="13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</row>
    <row r="432">
      <c r="A432" s="119"/>
      <c r="B432" s="12"/>
      <c r="C432" s="12"/>
      <c r="D432" s="13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33">
      <c r="A433" s="119"/>
      <c r="B433" s="12"/>
      <c r="C433" s="12"/>
      <c r="D433" s="13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</row>
    <row r="434">
      <c r="A434" s="119"/>
      <c r="B434" s="12"/>
      <c r="C434" s="12"/>
      <c r="D434" s="13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</row>
    <row r="435">
      <c r="A435" s="119"/>
      <c r="B435" s="12"/>
      <c r="C435" s="12"/>
      <c r="D435" s="13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</row>
    <row r="436">
      <c r="A436" s="119"/>
      <c r="B436" s="12"/>
      <c r="C436" s="12"/>
      <c r="D436" s="13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</row>
    <row r="437">
      <c r="A437" s="119"/>
      <c r="B437" s="12"/>
      <c r="C437" s="12"/>
      <c r="D437" s="13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</row>
    <row r="438">
      <c r="A438" s="119"/>
      <c r="B438" s="12"/>
      <c r="C438" s="12"/>
      <c r="D438" s="13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</row>
    <row r="439">
      <c r="A439" s="119"/>
      <c r="B439" s="12"/>
      <c r="C439" s="12"/>
      <c r="D439" s="13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</row>
    <row r="440">
      <c r="A440" s="119"/>
      <c r="B440" s="12"/>
      <c r="C440" s="12"/>
      <c r="D440" s="13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</row>
    <row r="441">
      <c r="A441" s="119"/>
      <c r="B441" s="12"/>
      <c r="C441" s="12"/>
      <c r="D441" s="13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42">
      <c r="A442" s="119"/>
      <c r="B442" s="12"/>
      <c r="C442" s="12"/>
      <c r="D442" s="13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</row>
    <row r="443">
      <c r="A443" s="119"/>
      <c r="B443" s="12"/>
      <c r="C443" s="12"/>
      <c r="D443" s="13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</row>
    <row r="444">
      <c r="A444" s="119"/>
      <c r="B444" s="12"/>
      <c r="C444" s="12"/>
      <c r="D444" s="13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</row>
    <row r="445">
      <c r="A445" s="119"/>
      <c r="B445" s="12"/>
      <c r="C445" s="12"/>
      <c r="D445" s="13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</row>
    <row r="446">
      <c r="A446" s="119"/>
      <c r="B446" s="12"/>
      <c r="C446" s="12"/>
      <c r="D446" s="13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</row>
    <row r="447">
      <c r="A447" s="119"/>
      <c r="B447" s="12"/>
      <c r="C447" s="12"/>
      <c r="D447" s="13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</row>
    <row r="448">
      <c r="A448" s="119"/>
      <c r="B448" s="12"/>
      <c r="C448" s="12"/>
      <c r="D448" s="13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</row>
    <row r="449">
      <c r="A449" s="119"/>
      <c r="B449" s="12"/>
      <c r="C449" s="12"/>
      <c r="D449" s="13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</row>
    <row r="450">
      <c r="A450" s="119"/>
      <c r="B450" s="12"/>
      <c r="C450" s="12"/>
      <c r="D450" s="13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</row>
    <row r="451">
      <c r="A451" s="119"/>
      <c r="B451" s="12"/>
      <c r="C451" s="12"/>
      <c r="D451" s="13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</row>
    <row r="452">
      <c r="A452" s="119"/>
      <c r="B452" s="12"/>
      <c r="C452" s="12"/>
      <c r="D452" s="13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</row>
    <row r="453">
      <c r="A453" s="119"/>
      <c r="B453" s="12"/>
      <c r="C453" s="12"/>
      <c r="D453" s="13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</row>
    <row r="454">
      <c r="A454" s="119"/>
      <c r="B454" s="12"/>
      <c r="C454" s="12"/>
      <c r="D454" s="13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</row>
    <row r="455">
      <c r="A455" s="119"/>
      <c r="B455" s="12"/>
      <c r="C455" s="12"/>
      <c r="D455" s="13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</row>
    <row r="456">
      <c r="A456" s="119"/>
      <c r="B456" s="12"/>
      <c r="C456" s="12"/>
      <c r="D456" s="13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</row>
    <row r="457">
      <c r="A457" s="119"/>
      <c r="B457" s="12"/>
      <c r="C457" s="12"/>
      <c r="D457" s="13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</row>
    <row r="458">
      <c r="A458" s="119"/>
      <c r="B458" s="12"/>
      <c r="C458" s="12"/>
      <c r="D458" s="13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</row>
    <row r="459">
      <c r="A459" s="119"/>
      <c r="B459" s="12"/>
      <c r="C459" s="12"/>
      <c r="D459" s="13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</row>
    <row r="460">
      <c r="A460" s="119"/>
      <c r="B460" s="12"/>
      <c r="C460" s="12"/>
      <c r="D460" s="13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</row>
    <row r="461">
      <c r="A461" s="119"/>
      <c r="B461" s="12"/>
      <c r="C461" s="12"/>
      <c r="D461" s="13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</row>
    <row r="462">
      <c r="A462" s="119"/>
      <c r="B462" s="12"/>
      <c r="C462" s="12"/>
      <c r="D462" s="13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</row>
    <row r="463">
      <c r="A463" s="119"/>
      <c r="B463" s="12"/>
      <c r="C463" s="12"/>
      <c r="D463" s="13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</row>
    <row r="464">
      <c r="A464" s="119"/>
      <c r="B464" s="12"/>
      <c r="C464" s="12"/>
      <c r="D464" s="13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</row>
    <row r="465">
      <c r="A465" s="119"/>
      <c r="B465" s="12"/>
      <c r="C465" s="12"/>
      <c r="D465" s="13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</row>
    <row r="466">
      <c r="A466" s="119"/>
      <c r="B466" s="12"/>
      <c r="C466" s="12"/>
      <c r="D466" s="13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</row>
    <row r="467">
      <c r="A467" s="119"/>
      <c r="B467" s="12"/>
      <c r="C467" s="12"/>
      <c r="D467" s="13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</row>
    <row r="468">
      <c r="A468" s="119"/>
      <c r="B468" s="12"/>
      <c r="C468" s="12"/>
      <c r="D468" s="13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</row>
    <row r="469">
      <c r="A469" s="119"/>
      <c r="B469" s="12"/>
      <c r="C469" s="12"/>
      <c r="D469" s="13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</row>
    <row r="470">
      <c r="A470" s="119"/>
      <c r="B470" s="12"/>
      <c r="C470" s="12"/>
      <c r="D470" s="13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</row>
    <row r="471">
      <c r="A471" s="119"/>
      <c r="B471" s="12"/>
      <c r="C471" s="12"/>
      <c r="D471" s="13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</row>
    <row r="472">
      <c r="A472" s="119"/>
      <c r="B472" s="12"/>
      <c r="C472" s="12"/>
      <c r="D472" s="13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>
      <c r="A473" s="119"/>
      <c r="B473" s="12"/>
      <c r="C473" s="12"/>
      <c r="D473" s="13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</row>
    <row r="474">
      <c r="A474" s="119"/>
      <c r="B474" s="12"/>
      <c r="C474" s="12"/>
      <c r="D474" s="13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</row>
    <row r="475">
      <c r="A475" s="119"/>
      <c r="B475" s="12"/>
      <c r="C475" s="12"/>
      <c r="D475" s="13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</row>
    <row r="476">
      <c r="A476" s="119"/>
      <c r="B476" s="12"/>
      <c r="C476" s="12"/>
      <c r="D476" s="13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</row>
    <row r="477">
      <c r="A477" s="119"/>
      <c r="B477" s="12"/>
      <c r="C477" s="12"/>
      <c r="D477" s="13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</row>
    <row r="478">
      <c r="A478" s="119"/>
      <c r="B478" s="12"/>
      <c r="C478" s="12"/>
      <c r="D478" s="13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</row>
    <row r="479">
      <c r="A479" s="119"/>
      <c r="B479" s="12"/>
      <c r="C479" s="12"/>
      <c r="D479" s="13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</row>
    <row r="480">
      <c r="A480" s="119"/>
      <c r="B480" s="12"/>
      <c r="C480" s="12"/>
      <c r="D480" s="13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</row>
    <row r="481">
      <c r="A481" s="119"/>
      <c r="B481" s="12"/>
      <c r="C481" s="12"/>
      <c r="D481" s="13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</row>
    <row r="482">
      <c r="A482" s="119"/>
      <c r="B482" s="12"/>
      <c r="C482" s="12"/>
      <c r="D482" s="13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</row>
    <row r="483">
      <c r="A483" s="119"/>
      <c r="B483" s="12"/>
      <c r="C483" s="12"/>
      <c r="D483" s="13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</row>
    <row r="484">
      <c r="A484" s="119"/>
      <c r="B484" s="12"/>
      <c r="C484" s="12"/>
      <c r="D484" s="13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</row>
    <row r="485">
      <c r="A485" s="119"/>
      <c r="B485" s="12"/>
      <c r="C485" s="12"/>
      <c r="D485" s="13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</row>
    <row r="486">
      <c r="A486" s="119"/>
      <c r="B486" s="12"/>
      <c r="C486" s="12"/>
      <c r="D486" s="13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</row>
    <row r="487">
      <c r="A487" s="119"/>
      <c r="B487" s="12"/>
      <c r="C487" s="12"/>
      <c r="D487" s="13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</row>
    <row r="488">
      <c r="A488" s="119"/>
      <c r="B488" s="12"/>
      <c r="C488" s="12"/>
      <c r="D488" s="13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</row>
    <row r="489">
      <c r="A489" s="119"/>
      <c r="B489" s="12"/>
      <c r="C489" s="12"/>
      <c r="D489" s="13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</row>
    <row r="490">
      <c r="A490" s="119"/>
      <c r="B490" s="12"/>
      <c r="C490" s="12"/>
      <c r="D490" s="13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</row>
    <row r="491">
      <c r="A491" s="119"/>
      <c r="B491" s="12"/>
      <c r="C491" s="12"/>
      <c r="D491" s="13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</row>
    <row r="492">
      <c r="A492" s="119"/>
      <c r="B492" s="12"/>
      <c r="C492" s="12"/>
      <c r="D492" s="13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</row>
    <row r="493">
      <c r="A493" s="119"/>
      <c r="B493" s="12"/>
      <c r="C493" s="12"/>
      <c r="D493" s="13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</row>
    <row r="494">
      <c r="A494" s="119"/>
      <c r="B494" s="12"/>
      <c r="C494" s="12"/>
      <c r="D494" s="13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</row>
    <row r="495">
      <c r="A495" s="119"/>
      <c r="B495" s="12"/>
      <c r="C495" s="12"/>
      <c r="D495" s="13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</row>
    <row r="496">
      <c r="A496" s="119"/>
      <c r="B496" s="12"/>
      <c r="C496" s="12"/>
      <c r="D496" s="13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</row>
    <row r="497">
      <c r="A497" s="119"/>
      <c r="B497" s="12"/>
      <c r="C497" s="12"/>
      <c r="D497" s="13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</row>
    <row r="498">
      <c r="A498" s="119"/>
      <c r="B498" s="12"/>
      <c r="C498" s="12"/>
      <c r="D498" s="13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</row>
    <row r="499">
      <c r="A499" s="119"/>
      <c r="B499" s="12"/>
      <c r="C499" s="12"/>
      <c r="D499" s="13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</row>
    <row r="500">
      <c r="A500" s="119"/>
      <c r="B500" s="12"/>
      <c r="C500" s="12"/>
      <c r="D500" s="13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</row>
    <row r="501">
      <c r="A501" s="119"/>
      <c r="B501" s="12"/>
      <c r="C501" s="12"/>
      <c r="D501" s="13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</row>
    <row r="502">
      <c r="A502" s="119"/>
      <c r="B502" s="12"/>
      <c r="C502" s="12"/>
      <c r="D502" s="13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</row>
    <row r="503">
      <c r="A503" s="119"/>
      <c r="B503" s="12"/>
      <c r="C503" s="12"/>
      <c r="D503" s="13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</row>
    <row r="504">
      <c r="A504" s="119"/>
      <c r="B504" s="12"/>
      <c r="C504" s="12"/>
      <c r="D504" s="13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</row>
    <row r="505">
      <c r="A505" s="119"/>
      <c r="B505" s="12"/>
      <c r="C505" s="12"/>
      <c r="D505" s="13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</row>
    <row r="506">
      <c r="A506" s="119"/>
      <c r="B506" s="12"/>
      <c r="C506" s="12"/>
      <c r="D506" s="13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</row>
    <row r="507">
      <c r="A507" s="119"/>
      <c r="B507" s="12"/>
      <c r="C507" s="12"/>
      <c r="D507" s="13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</row>
    <row r="508">
      <c r="A508" s="119"/>
      <c r="B508" s="12"/>
      <c r="C508" s="12"/>
      <c r="D508" s="13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</row>
    <row r="509">
      <c r="A509" s="119"/>
      <c r="B509" s="12"/>
      <c r="C509" s="12"/>
      <c r="D509" s="13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</row>
    <row r="510">
      <c r="A510" s="119"/>
      <c r="B510" s="12"/>
      <c r="C510" s="12"/>
      <c r="D510" s="13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</row>
    <row r="511">
      <c r="A511" s="119"/>
      <c r="B511" s="12"/>
      <c r="C511" s="12"/>
      <c r="D511" s="13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</row>
    <row r="512">
      <c r="A512" s="119"/>
      <c r="B512" s="12"/>
      <c r="C512" s="12"/>
      <c r="D512" s="13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</row>
    <row r="513">
      <c r="A513" s="119"/>
      <c r="B513" s="12"/>
      <c r="C513" s="12"/>
      <c r="D513" s="13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</row>
    <row r="514">
      <c r="A514" s="119"/>
      <c r="B514" s="12"/>
      <c r="C514" s="12"/>
      <c r="D514" s="13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</row>
    <row r="515">
      <c r="A515" s="119"/>
      <c r="B515" s="12"/>
      <c r="C515" s="12"/>
      <c r="D515" s="13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</row>
    <row r="516">
      <c r="A516" s="119"/>
      <c r="B516" s="12"/>
      <c r="C516" s="12"/>
      <c r="D516" s="13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</row>
    <row r="517">
      <c r="A517" s="119"/>
      <c r="B517" s="12"/>
      <c r="C517" s="12"/>
      <c r="D517" s="13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</row>
    <row r="518">
      <c r="A518" s="119"/>
      <c r="B518" s="12"/>
      <c r="C518" s="12"/>
      <c r="D518" s="13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</row>
    <row r="519">
      <c r="A519" s="119"/>
      <c r="B519" s="12"/>
      <c r="C519" s="12"/>
      <c r="D519" s="13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</row>
    <row r="520">
      <c r="A520" s="119"/>
      <c r="B520" s="12"/>
      <c r="C520" s="12"/>
      <c r="D520" s="13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</row>
    <row r="521">
      <c r="A521" s="119"/>
      <c r="B521" s="12"/>
      <c r="C521" s="12"/>
      <c r="D521" s="13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</row>
    <row r="522">
      <c r="A522" s="119"/>
      <c r="B522" s="12"/>
      <c r="C522" s="12"/>
      <c r="D522" s="13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</row>
    <row r="523">
      <c r="A523" s="119"/>
      <c r="B523" s="12"/>
      <c r="C523" s="12"/>
      <c r="D523" s="13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</row>
    <row r="524">
      <c r="A524" s="119"/>
      <c r="B524" s="12"/>
      <c r="C524" s="12"/>
      <c r="D524" s="13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</row>
    <row r="525">
      <c r="A525" s="119"/>
      <c r="B525" s="12"/>
      <c r="C525" s="12"/>
      <c r="D525" s="13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</row>
    <row r="526">
      <c r="A526" s="119"/>
      <c r="B526" s="12"/>
      <c r="C526" s="12"/>
      <c r="D526" s="13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</row>
    <row r="527">
      <c r="A527" s="119"/>
      <c r="B527" s="12"/>
      <c r="C527" s="12"/>
      <c r="D527" s="13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</row>
    <row r="528">
      <c r="A528" s="119"/>
      <c r="B528" s="12"/>
      <c r="C528" s="12"/>
      <c r="D528" s="13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</row>
    <row r="529">
      <c r="A529" s="119"/>
      <c r="B529" s="12"/>
      <c r="C529" s="12"/>
      <c r="D529" s="13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</row>
    <row r="530">
      <c r="A530" s="119"/>
      <c r="B530" s="12"/>
      <c r="C530" s="12"/>
      <c r="D530" s="13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</row>
    <row r="531">
      <c r="A531" s="119"/>
      <c r="B531" s="12"/>
      <c r="C531" s="12"/>
      <c r="D531" s="13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</row>
    <row r="532">
      <c r="A532" s="119"/>
      <c r="B532" s="12"/>
      <c r="C532" s="12"/>
      <c r="D532" s="13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</row>
    <row r="533">
      <c r="A533" s="119"/>
      <c r="B533" s="12"/>
      <c r="C533" s="12"/>
      <c r="D533" s="13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</row>
    <row r="534">
      <c r="A534" s="119"/>
      <c r="B534" s="12"/>
      <c r="C534" s="12"/>
      <c r="D534" s="13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</row>
    <row r="535">
      <c r="A535" s="119"/>
      <c r="B535" s="12"/>
      <c r="C535" s="12"/>
      <c r="D535" s="13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</row>
    <row r="536">
      <c r="A536" s="119"/>
      <c r="B536" s="12"/>
      <c r="C536" s="12"/>
      <c r="D536" s="13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</row>
    <row r="537">
      <c r="A537" s="119"/>
      <c r="B537" s="12"/>
      <c r="C537" s="12"/>
      <c r="D537" s="13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</row>
    <row r="538">
      <c r="A538" s="119"/>
      <c r="B538" s="12"/>
      <c r="C538" s="12"/>
      <c r="D538" s="13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</row>
    <row r="539">
      <c r="A539" s="119"/>
      <c r="B539" s="12"/>
      <c r="C539" s="12"/>
      <c r="D539" s="13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</row>
    <row r="540">
      <c r="A540" s="119"/>
      <c r="B540" s="12"/>
      <c r="C540" s="12"/>
      <c r="D540" s="13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</row>
    <row r="541">
      <c r="A541" s="119"/>
      <c r="B541" s="12"/>
      <c r="C541" s="12"/>
      <c r="D541" s="13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</row>
    <row r="542">
      <c r="A542" s="119"/>
      <c r="B542" s="12"/>
      <c r="C542" s="12"/>
      <c r="D542" s="13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</row>
    <row r="543">
      <c r="A543" s="119"/>
      <c r="B543" s="12"/>
      <c r="C543" s="12"/>
      <c r="D543" s="13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</row>
    <row r="544">
      <c r="A544" s="119"/>
      <c r="B544" s="12"/>
      <c r="C544" s="12"/>
      <c r="D544" s="13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</row>
    <row r="545">
      <c r="A545" s="119"/>
      <c r="B545" s="12"/>
      <c r="C545" s="12"/>
      <c r="D545" s="13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</row>
    <row r="546">
      <c r="A546" s="119"/>
      <c r="B546" s="12"/>
      <c r="C546" s="12"/>
      <c r="D546" s="13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</row>
    <row r="547">
      <c r="A547" s="119"/>
      <c r="B547" s="12"/>
      <c r="C547" s="12"/>
      <c r="D547" s="13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</row>
    <row r="548">
      <c r="A548" s="119"/>
      <c r="B548" s="12"/>
      <c r="C548" s="12"/>
      <c r="D548" s="13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</row>
    <row r="549">
      <c r="A549" s="119"/>
      <c r="B549" s="12"/>
      <c r="C549" s="12"/>
      <c r="D549" s="13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</row>
    <row r="550">
      <c r="A550" s="119"/>
      <c r="B550" s="12"/>
      <c r="C550" s="12"/>
      <c r="D550" s="13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</row>
    <row r="551">
      <c r="A551" s="119"/>
      <c r="B551" s="12"/>
      <c r="C551" s="12"/>
      <c r="D551" s="13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</row>
    <row r="552">
      <c r="A552" s="119"/>
      <c r="B552" s="12"/>
      <c r="C552" s="12"/>
      <c r="D552" s="13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</row>
    <row r="553">
      <c r="A553" s="119"/>
      <c r="B553" s="12"/>
      <c r="C553" s="12"/>
      <c r="D553" s="13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</row>
    <row r="554">
      <c r="A554" s="119"/>
      <c r="B554" s="12"/>
      <c r="C554" s="12"/>
      <c r="D554" s="13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</row>
    <row r="555">
      <c r="A555" s="119"/>
      <c r="B555" s="12"/>
      <c r="C555" s="12"/>
      <c r="D555" s="13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</row>
    <row r="556">
      <c r="A556" s="119"/>
      <c r="B556" s="12"/>
      <c r="C556" s="12"/>
      <c r="D556" s="13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</row>
    <row r="557">
      <c r="A557" s="119"/>
      <c r="B557" s="12"/>
      <c r="C557" s="12"/>
      <c r="D557" s="13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</row>
    <row r="558">
      <c r="A558" s="119"/>
      <c r="B558" s="12"/>
      <c r="C558" s="12"/>
      <c r="D558" s="13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</row>
    <row r="559">
      <c r="A559" s="119"/>
      <c r="B559" s="12"/>
      <c r="C559" s="12"/>
      <c r="D559" s="13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</row>
    <row r="560">
      <c r="A560" s="119"/>
      <c r="B560" s="12"/>
      <c r="C560" s="12"/>
      <c r="D560" s="13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</row>
    <row r="561">
      <c r="A561" s="119"/>
      <c r="B561" s="12"/>
      <c r="C561" s="12"/>
      <c r="D561" s="13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</row>
    <row r="562">
      <c r="A562" s="119"/>
      <c r="B562" s="12"/>
      <c r="C562" s="12"/>
      <c r="D562" s="13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</row>
    <row r="563">
      <c r="A563" s="119"/>
      <c r="B563" s="12"/>
      <c r="C563" s="12"/>
      <c r="D563" s="13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</row>
    <row r="564">
      <c r="A564" s="119"/>
      <c r="B564" s="12"/>
      <c r="C564" s="12"/>
      <c r="D564" s="13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</row>
    <row r="565">
      <c r="A565" s="119"/>
      <c r="B565" s="12"/>
      <c r="C565" s="12"/>
      <c r="D565" s="13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</row>
    <row r="566">
      <c r="A566" s="119"/>
      <c r="B566" s="12"/>
      <c r="C566" s="12"/>
      <c r="D566" s="13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</row>
    <row r="567">
      <c r="A567" s="119"/>
      <c r="B567" s="12"/>
      <c r="C567" s="12"/>
      <c r="D567" s="13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</row>
    <row r="568">
      <c r="A568" s="119"/>
      <c r="B568" s="12"/>
      <c r="C568" s="12"/>
      <c r="D568" s="13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</row>
    <row r="569">
      <c r="A569" s="119"/>
      <c r="B569" s="12"/>
      <c r="C569" s="12"/>
      <c r="D569" s="13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</row>
    <row r="570">
      <c r="A570" s="119"/>
      <c r="B570" s="12"/>
      <c r="C570" s="12"/>
      <c r="D570" s="13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</row>
    <row r="571">
      <c r="A571" s="119"/>
      <c r="B571" s="12"/>
      <c r="C571" s="12"/>
      <c r="D571" s="13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</row>
    <row r="572">
      <c r="A572" s="119"/>
      <c r="B572" s="12"/>
      <c r="C572" s="12"/>
      <c r="D572" s="13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</row>
    <row r="573">
      <c r="A573" s="119"/>
      <c r="B573" s="12"/>
      <c r="C573" s="12"/>
      <c r="D573" s="13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</row>
    <row r="574">
      <c r="A574" s="119"/>
      <c r="B574" s="12"/>
      <c r="C574" s="12"/>
      <c r="D574" s="13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</row>
    <row r="575">
      <c r="A575" s="119"/>
      <c r="B575" s="12"/>
      <c r="C575" s="12"/>
      <c r="D575" s="13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</row>
    <row r="576">
      <c r="A576" s="119"/>
      <c r="B576" s="12"/>
      <c r="C576" s="12"/>
      <c r="D576" s="13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</row>
    <row r="577">
      <c r="A577" s="119"/>
      <c r="B577" s="12"/>
      <c r="C577" s="12"/>
      <c r="D577" s="13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</row>
    <row r="578">
      <c r="A578" s="119"/>
      <c r="B578" s="12"/>
      <c r="C578" s="12"/>
      <c r="D578" s="13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</row>
    <row r="579">
      <c r="A579" s="119"/>
      <c r="B579" s="12"/>
      <c r="C579" s="12"/>
      <c r="D579" s="13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</row>
    <row r="580">
      <c r="A580" s="119"/>
      <c r="B580" s="12"/>
      <c r="C580" s="12"/>
      <c r="D580" s="13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</row>
    <row r="581">
      <c r="A581" s="119"/>
      <c r="B581" s="12"/>
      <c r="C581" s="12"/>
      <c r="D581" s="13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</row>
    <row r="582">
      <c r="A582" s="119"/>
      <c r="B582" s="12"/>
      <c r="C582" s="12"/>
      <c r="D582" s="13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</row>
    <row r="583">
      <c r="A583" s="119"/>
      <c r="B583" s="12"/>
      <c r="C583" s="12"/>
      <c r="D583" s="13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</row>
    <row r="584">
      <c r="A584" s="119"/>
      <c r="B584" s="12"/>
      <c r="C584" s="12"/>
      <c r="D584" s="13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</row>
    <row r="585">
      <c r="A585" s="119"/>
      <c r="B585" s="12"/>
      <c r="C585" s="12"/>
      <c r="D585" s="13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</row>
    <row r="586">
      <c r="A586" s="119"/>
      <c r="B586" s="12"/>
      <c r="C586" s="12"/>
      <c r="D586" s="13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</row>
    <row r="587">
      <c r="A587" s="119"/>
      <c r="B587" s="12"/>
      <c r="C587" s="12"/>
      <c r="D587" s="13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</row>
    <row r="588">
      <c r="A588" s="119"/>
      <c r="B588" s="12"/>
      <c r="C588" s="12"/>
      <c r="D588" s="13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</row>
    <row r="589">
      <c r="A589" s="119"/>
      <c r="B589" s="12"/>
      <c r="C589" s="12"/>
      <c r="D589" s="13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</row>
    <row r="590">
      <c r="A590" s="119"/>
      <c r="B590" s="12"/>
      <c r="C590" s="12"/>
      <c r="D590" s="13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</row>
    <row r="591">
      <c r="A591" s="119"/>
      <c r="B591" s="12"/>
      <c r="C591" s="12"/>
      <c r="D591" s="13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</row>
    <row r="592">
      <c r="A592" s="119"/>
      <c r="B592" s="12"/>
      <c r="C592" s="12"/>
      <c r="D592" s="13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</row>
    <row r="593">
      <c r="A593" s="119"/>
      <c r="B593" s="12"/>
      <c r="C593" s="12"/>
      <c r="D593" s="13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</row>
    <row r="594">
      <c r="A594" s="119"/>
      <c r="B594" s="12"/>
      <c r="C594" s="12"/>
      <c r="D594" s="13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</row>
    <row r="595">
      <c r="A595" s="119"/>
      <c r="B595" s="12"/>
      <c r="C595" s="12"/>
      <c r="D595" s="13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</row>
    <row r="596">
      <c r="A596" s="119"/>
      <c r="B596" s="12"/>
      <c r="C596" s="12"/>
      <c r="D596" s="13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</row>
    <row r="597">
      <c r="A597" s="119"/>
      <c r="B597" s="12"/>
      <c r="C597" s="12"/>
      <c r="D597" s="13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</row>
    <row r="598">
      <c r="A598" s="119"/>
      <c r="B598" s="12"/>
      <c r="C598" s="12"/>
      <c r="D598" s="13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</row>
    <row r="599">
      <c r="A599" s="119"/>
      <c r="B599" s="12"/>
      <c r="C599" s="12"/>
      <c r="D599" s="13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</row>
    <row r="600">
      <c r="A600" s="119"/>
      <c r="B600" s="12"/>
      <c r="C600" s="12"/>
      <c r="D600" s="13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</row>
    <row r="601">
      <c r="A601" s="119"/>
      <c r="B601" s="12"/>
      <c r="C601" s="12"/>
      <c r="D601" s="13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</row>
    <row r="602">
      <c r="A602" s="119"/>
      <c r="B602" s="12"/>
      <c r="C602" s="12"/>
      <c r="D602" s="13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</row>
    <row r="603">
      <c r="A603" s="119"/>
      <c r="B603" s="12"/>
      <c r="C603" s="12"/>
      <c r="D603" s="13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</row>
    <row r="604">
      <c r="A604" s="119"/>
      <c r="B604" s="12"/>
      <c r="C604" s="12"/>
      <c r="D604" s="13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</row>
    <row r="605">
      <c r="A605" s="119"/>
      <c r="B605" s="12"/>
      <c r="C605" s="12"/>
      <c r="D605" s="13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</row>
    <row r="606">
      <c r="A606" s="119"/>
      <c r="B606" s="12"/>
      <c r="C606" s="12"/>
      <c r="D606" s="13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</row>
    <row r="607">
      <c r="A607" s="119"/>
      <c r="B607" s="12"/>
      <c r="C607" s="12"/>
      <c r="D607" s="13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</row>
    <row r="608">
      <c r="A608" s="119"/>
      <c r="B608" s="12"/>
      <c r="C608" s="12"/>
      <c r="D608" s="13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</row>
    <row r="609">
      <c r="A609" s="119"/>
      <c r="B609" s="12"/>
      <c r="C609" s="12"/>
      <c r="D609" s="13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</row>
    <row r="610">
      <c r="A610" s="119"/>
      <c r="B610" s="12"/>
      <c r="C610" s="12"/>
      <c r="D610" s="13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</row>
    <row r="611">
      <c r="A611" s="119"/>
      <c r="B611" s="12"/>
      <c r="C611" s="12"/>
      <c r="D611" s="13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</row>
    <row r="612">
      <c r="A612" s="119"/>
      <c r="B612" s="12"/>
      <c r="C612" s="12"/>
      <c r="D612" s="13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</row>
    <row r="613">
      <c r="A613" s="119"/>
      <c r="B613" s="12"/>
      <c r="C613" s="12"/>
      <c r="D613" s="13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</row>
    <row r="614">
      <c r="A614" s="119"/>
      <c r="B614" s="12"/>
      <c r="C614" s="12"/>
      <c r="D614" s="13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</row>
    <row r="615">
      <c r="A615" s="119"/>
      <c r="B615" s="12"/>
      <c r="C615" s="12"/>
      <c r="D615" s="13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</row>
    <row r="616">
      <c r="A616" s="119"/>
      <c r="B616" s="12"/>
      <c r="C616" s="12"/>
      <c r="D616" s="13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>
      <c r="A617" s="119"/>
      <c r="B617" s="12"/>
      <c r="C617" s="12"/>
      <c r="D617" s="13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</row>
    <row r="618">
      <c r="A618" s="119"/>
      <c r="B618" s="12"/>
      <c r="C618" s="12"/>
      <c r="D618" s="13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</row>
    <row r="619">
      <c r="A619" s="119"/>
      <c r="B619" s="12"/>
      <c r="C619" s="12"/>
      <c r="D619" s="13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</row>
    <row r="620">
      <c r="A620" s="119"/>
      <c r="B620" s="12"/>
      <c r="C620" s="12"/>
      <c r="D620" s="13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</row>
    <row r="621">
      <c r="A621" s="119"/>
      <c r="B621" s="12"/>
      <c r="C621" s="12"/>
      <c r="D621" s="13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</row>
    <row r="622">
      <c r="A622" s="119"/>
      <c r="B622" s="12"/>
      <c r="C622" s="12"/>
      <c r="D622" s="13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</row>
    <row r="623">
      <c r="A623" s="119"/>
      <c r="B623" s="12"/>
      <c r="C623" s="12"/>
      <c r="D623" s="13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</row>
    <row r="624">
      <c r="A624" s="119"/>
      <c r="B624" s="12"/>
      <c r="C624" s="12"/>
      <c r="D624" s="13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</row>
    <row r="625">
      <c r="A625" s="119"/>
      <c r="B625" s="12"/>
      <c r="C625" s="12"/>
      <c r="D625" s="13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</row>
    <row r="626">
      <c r="A626" s="119"/>
      <c r="B626" s="12"/>
      <c r="C626" s="12"/>
      <c r="D626" s="13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</row>
    <row r="627">
      <c r="A627" s="119"/>
      <c r="B627" s="12"/>
      <c r="C627" s="12"/>
      <c r="D627" s="13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</row>
    <row r="628">
      <c r="A628" s="119"/>
      <c r="B628" s="12"/>
      <c r="C628" s="12"/>
      <c r="D628" s="13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</row>
    <row r="629">
      <c r="A629" s="119"/>
      <c r="B629" s="12"/>
      <c r="C629" s="12"/>
      <c r="D629" s="13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</row>
    <row r="630">
      <c r="A630" s="119"/>
      <c r="B630" s="12"/>
      <c r="C630" s="12"/>
      <c r="D630" s="13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</row>
    <row r="631">
      <c r="A631" s="119"/>
      <c r="B631" s="12"/>
      <c r="C631" s="12"/>
      <c r="D631" s="13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</row>
    <row r="632">
      <c r="A632" s="119"/>
      <c r="B632" s="12"/>
      <c r="C632" s="12"/>
      <c r="D632" s="13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</row>
    <row r="633">
      <c r="A633" s="119"/>
      <c r="B633" s="12"/>
      <c r="C633" s="12"/>
      <c r="D633" s="13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</row>
    <row r="634">
      <c r="A634" s="119"/>
      <c r="B634" s="12"/>
      <c r="C634" s="12"/>
      <c r="D634" s="13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</row>
    <row r="635">
      <c r="A635" s="119"/>
      <c r="B635" s="12"/>
      <c r="C635" s="12"/>
      <c r="D635" s="13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</row>
    <row r="636">
      <c r="A636" s="119"/>
      <c r="B636" s="12"/>
      <c r="C636" s="12"/>
      <c r="D636" s="13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</row>
    <row r="637">
      <c r="A637" s="119"/>
      <c r="B637" s="12"/>
      <c r="C637" s="12"/>
      <c r="D637" s="13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</row>
    <row r="638">
      <c r="A638" s="119"/>
      <c r="B638" s="12"/>
      <c r="C638" s="12"/>
      <c r="D638" s="13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</row>
    <row r="639">
      <c r="A639" s="119"/>
      <c r="B639" s="12"/>
      <c r="C639" s="12"/>
      <c r="D639" s="13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</row>
    <row r="640">
      <c r="A640" s="119"/>
      <c r="B640" s="12"/>
      <c r="C640" s="12"/>
      <c r="D640" s="13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</row>
    <row r="641">
      <c r="A641" s="119"/>
      <c r="B641" s="12"/>
      <c r="C641" s="12"/>
      <c r="D641" s="13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</row>
    <row r="642">
      <c r="A642" s="119"/>
      <c r="B642" s="12"/>
      <c r="C642" s="12"/>
      <c r="D642" s="13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</row>
    <row r="643">
      <c r="A643" s="119"/>
      <c r="B643" s="12"/>
      <c r="C643" s="12"/>
      <c r="D643" s="13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</row>
    <row r="644">
      <c r="A644" s="119"/>
      <c r="B644" s="12"/>
      <c r="C644" s="12"/>
      <c r="D644" s="13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</row>
    <row r="645">
      <c r="A645" s="119"/>
      <c r="B645" s="12"/>
      <c r="C645" s="12"/>
      <c r="D645" s="13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</row>
    <row r="646">
      <c r="A646" s="119"/>
      <c r="B646" s="12"/>
      <c r="C646" s="12"/>
      <c r="D646" s="13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</row>
    <row r="647">
      <c r="A647" s="119"/>
      <c r="B647" s="12"/>
      <c r="C647" s="12"/>
      <c r="D647" s="13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</row>
    <row r="648">
      <c r="A648" s="119"/>
      <c r="B648" s="12"/>
      <c r="C648" s="12"/>
      <c r="D648" s="13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</row>
    <row r="649">
      <c r="A649" s="119"/>
      <c r="B649" s="12"/>
      <c r="C649" s="12"/>
      <c r="D649" s="13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</row>
    <row r="650">
      <c r="A650" s="119"/>
      <c r="B650" s="12"/>
      <c r="C650" s="12"/>
      <c r="D650" s="13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</row>
    <row r="651">
      <c r="A651" s="119"/>
      <c r="B651" s="12"/>
      <c r="C651" s="12"/>
      <c r="D651" s="13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</row>
    <row r="652">
      <c r="A652" s="119"/>
      <c r="B652" s="12"/>
      <c r="C652" s="12"/>
      <c r="D652" s="13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</row>
    <row r="653">
      <c r="A653" s="119"/>
      <c r="B653" s="12"/>
      <c r="C653" s="12"/>
      <c r="D653" s="13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</row>
    <row r="654">
      <c r="A654" s="119"/>
      <c r="B654" s="12"/>
      <c r="C654" s="12"/>
      <c r="D654" s="13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</row>
    <row r="655">
      <c r="A655" s="119"/>
      <c r="B655" s="12"/>
      <c r="C655" s="12"/>
      <c r="D655" s="13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</row>
    <row r="656">
      <c r="A656" s="119"/>
      <c r="B656" s="12"/>
      <c r="C656" s="12"/>
      <c r="D656" s="13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</row>
    <row r="657">
      <c r="A657" s="119"/>
      <c r="B657" s="12"/>
      <c r="C657" s="12"/>
      <c r="D657" s="13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</row>
    <row r="658">
      <c r="A658" s="119"/>
      <c r="B658" s="12"/>
      <c r="C658" s="12"/>
      <c r="D658" s="13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</row>
    <row r="659">
      <c r="A659" s="119"/>
      <c r="B659" s="12"/>
      <c r="C659" s="12"/>
      <c r="D659" s="13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</row>
    <row r="660">
      <c r="A660" s="119"/>
      <c r="B660" s="12"/>
      <c r="C660" s="12"/>
      <c r="D660" s="13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</row>
    <row r="661">
      <c r="A661" s="119"/>
      <c r="B661" s="12"/>
      <c r="C661" s="12"/>
      <c r="D661" s="13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</row>
    <row r="662">
      <c r="A662" s="119"/>
      <c r="B662" s="12"/>
      <c r="C662" s="12"/>
      <c r="D662" s="13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</row>
    <row r="663">
      <c r="A663" s="119"/>
      <c r="B663" s="12"/>
      <c r="C663" s="12"/>
      <c r="D663" s="13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</row>
    <row r="664">
      <c r="A664" s="119"/>
      <c r="B664" s="12"/>
      <c r="C664" s="12"/>
      <c r="D664" s="13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</row>
    <row r="665">
      <c r="A665" s="119"/>
      <c r="B665" s="12"/>
      <c r="C665" s="12"/>
      <c r="D665" s="13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</row>
    <row r="666">
      <c r="A666" s="119"/>
      <c r="B666" s="12"/>
      <c r="C666" s="12"/>
      <c r="D666" s="13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</row>
    <row r="667">
      <c r="A667" s="119"/>
      <c r="B667" s="12"/>
      <c r="C667" s="12"/>
      <c r="D667" s="13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</row>
    <row r="668">
      <c r="A668" s="119"/>
      <c r="B668" s="12"/>
      <c r="C668" s="12"/>
      <c r="D668" s="13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</row>
    <row r="669">
      <c r="A669" s="119"/>
      <c r="B669" s="12"/>
      <c r="C669" s="12"/>
      <c r="D669" s="13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</row>
    <row r="670">
      <c r="A670" s="119"/>
      <c r="B670" s="12"/>
      <c r="C670" s="12"/>
      <c r="D670" s="13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</row>
    <row r="671">
      <c r="A671" s="119"/>
      <c r="B671" s="12"/>
      <c r="C671" s="12"/>
      <c r="D671" s="13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</row>
    <row r="672">
      <c r="A672" s="119"/>
      <c r="B672" s="12"/>
      <c r="C672" s="12"/>
      <c r="D672" s="13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</row>
    <row r="673">
      <c r="A673" s="119"/>
      <c r="B673" s="12"/>
      <c r="C673" s="12"/>
      <c r="D673" s="13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</row>
    <row r="674">
      <c r="A674" s="119"/>
      <c r="B674" s="12"/>
      <c r="C674" s="12"/>
      <c r="D674" s="13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</row>
    <row r="675">
      <c r="A675" s="119"/>
      <c r="B675" s="12"/>
      <c r="C675" s="12"/>
      <c r="D675" s="13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</row>
    <row r="676">
      <c r="A676" s="119"/>
      <c r="B676" s="12"/>
      <c r="C676" s="12"/>
      <c r="D676" s="13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</row>
    <row r="677">
      <c r="A677" s="119"/>
      <c r="B677" s="12"/>
      <c r="C677" s="12"/>
      <c r="D677" s="13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</row>
    <row r="678">
      <c r="A678" s="119"/>
      <c r="B678" s="12"/>
      <c r="C678" s="12"/>
      <c r="D678" s="13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</row>
    <row r="679">
      <c r="A679" s="119"/>
      <c r="B679" s="12"/>
      <c r="C679" s="12"/>
      <c r="D679" s="13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</row>
    <row r="680">
      <c r="A680" s="119"/>
      <c r="B680" s="12"/>
      <c r="C680" s="12"/>
      <c r="D680" s="13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</row>
    <row r="681">
      <c r="A681" s="119"/>
      <c r="B681" s="12"/>
      <c r="C681" s="12"/>
      <c r="D681" s="13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</row>
    <row r="682">
      <c r="A682" s="119"/>
      <c r="B682" s="12"/>
      <c r="C682" s="12"/>
      <c r="D682" s="13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</row>
    <row r="683">
      <c r="A683" s="119"/>
      <c r="B683" s="12"/>
      <c r="C683" s="12"/>
      <c r="D683" s="13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</row>
    <row r="684">
      <c r="A684" s="119"/>
      <c r="B684" s="12"/>
      <c r="C684" s="12"/>
      <c r="D684" s="13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</row>
    <row r="685">
      <c r="A685" s="119"/>
      <c r="B685" s="12"/>
      <c r="C685" s="12"/>
      <c r="D685" s="13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</row>
    <row r="686">
      <c r="A686" s="119"/>
      <c r="B686" s="12"/>
      <c r="C686" s="12"/>
      <c r="D686" s="13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</row>
    <row r="687">
      <c r="A687" s="119"/>
      <c r="B687" s="12"/>
      <c r="C687" s="12"/>
      <c r="D687" s="13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</row>
    <row r="688">
      <c r="A688" s="119"/>
      <c r="B688" s="12"/>
      <c r="C688" s="12"/>
      <c r="D688" s="13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</row>
    <row r="689">
      <c r="A689" s="119"/>
      <c r="B689" s="12"/>
      <c r="C689" s="12"/>
      <c r="D689" s="13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</row>
    <row r="690">
      <c r="A690" s="119"/>
      <c r="B690" s="12"/>
      <c r="C690" s="12"/>
      <c r="D690" s="13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</row>
    <row r="691">
      <c r="A691" s="119"/>
      <c r="B691" s="12"/>
      <c r="C691" s="12"/>
      <c r="D691" s="13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</row>
    <row r="692">
      <c r="A692" s="119"/>
      <c r="B692" s="12"/>
      <c r="C692" s="12"/>
      <c r="D692" s="13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</row>
    <row r="693">
      <c r="A693" s="119"/>
      <c r="B693" s="12"/>
      <c r="C693" s="12"/>
      <c r="D693" s="13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</row>
    <row r="694">
      <c r="A694" s="119"/>
      <c r="B694" s="12"/>
      <c r="C694" s="12"/>
      <c r="D694" s="13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</row>
    <row r="695">
      <c r="A695" s="119"/>
      <c r="B695" s="12"/>
      <c r="C695" s="12"/>
      <c r="D695" s="13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</row>
    <row r="696">
      <c r="A696" s="119"/>
      <c r="B696" s="12"/>
      <c r="C696" s="12"/>
      <c r="D696" s="13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</row>
    <row r="697">
      <c r="A697" s="119"/>
      <c r="B697" s="12"/>
      <c r="C697" s="12"/>
      <c r="D697" s="13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</row>
    <row r="698">
      <c r="A698" s="119"/>
      <c r="B698" s="12"/>
      <c r="C698" s="12"/>
      <c r="D698" s="13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</row>
    <row r="699">
      <c r="A699" s="119"/>
      <c r="B699" s="12"/>
      <c r="C699" s="12"/>
      <c r="D699" s="13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</row>
    <row r="700">
      <c r="A700" s="119"/>
      <c r="B700" s="12"/>
      <c r="C700" s="12"/>
      <c r="D700" s="13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</row>
    <row r="701">
      <c r="A701" s="119"/>
      <c r="B701" s="12"/>
      <c r="C701" s="12"/>
      <c r="D701" s="13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</row>
    <row r="702">
      <c r="A702" s="119"/>
      <c r="B702" s="12"/>
      <c r="C702" s="12"/>
      <c r="D702" s="13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</row>
    <row r="703">
      <c r="A703" s="119"/>
      <c r="B703" s="12"/>
      <c r="C703" s="12"/>
      <c r="D703" s="13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</row>
    <row r="704">
      <c r="A704" s="119"/>
      <c r="B704" s="12"/>
      <c r="C704" s="12"/>
      <c r="D704" s="13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</row>
    <row r="705">
      <c r="A705" s="119"/>
      <c r="B705" s="12"/>
      <c r="C705" s="12"/>
      <c r="D705" s="13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</row>
    <row r="706">
      <c r="A706" s="119"/>
      <c r="B706" s="12"/>
      <c r="C706" s="12"/>
      <c r="D706" s="13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</row>
    <row r="707">
      <c r="A707" s="119"/>
      <c r="B707" s="12"/>
      <c r="C707" s="12"/>
      <c r="D707" s="13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</row>
    <row r="708">
      <c r="A708" s="119"/>
      <c r="B708" s="12"/>
      <c r="C708" s="12"/>
      <c r="D708" s="13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</row>
    <row r="709">
      <c r="A709" s="119"/>
      <c r="B709" s="12"/>
      <c r="C709" s="12"/>
      <c r="D709" s="13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</row>
    <row r="710">
      <c r="A710" s="119"/>
      <c r="B710" s="12"/>
      <c r="C710" s="12"/>
      <c r="D710" s="13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</row>
    <row r="711">
      <c r="A711" s="119"/>
      <c r="B711" s="12"/>
      <c r="C711" s="12"/>
      <c r="D711" s="13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</row>
    <row r="712">
      <c r="A712" s="119"/>
      <c r="B712" s="12"/>
      <c r="C712" s="12"/>
      <c r="D712" s="13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</row>
    <row r="713">
      <c r="A713" s="119"/>
      <c r="B713" s="12"/>
      <c r="C713" s="12"/>
      <c r="D713" s="13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</row>
    <row r="714">
      <c r="A714" s="119"/>
      <c r="B714" s="12"/>
      <c r="C714" s="12"/>
      <c r="D714" s="13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</row>
    <row r="715">
      <c r="A715" s="119"/>
      <c r="B715" s="12"/>
      <c r="C715" s="12"/>
      <c r="D715" s="13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</row>
    <row r="716">
      <c r="A716" s="119"/>
      <c r="B716" s="12"/>
      <c r="C716" s="12"/>
      <c r="D716" s="13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</row>
    <row r="717">
      <c r="A717" s="119"/>
      <c r="B717" s="12"/>
      <c r="C717" s="12"/>
      <c r="D717" s="13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</row>
    <row r="718">
      <c r="A718" s="119"/>
      <c r="B718" s="12"/>
      <c r="C718" s="12"/>
      <c r="D718" s="13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</row>
    <row r="719">
      <c r="A719" s="119"/>
      <c r="B719" s="12"/>
      <c r="C719" s="12"/>
      <c r="D719" s="13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</row>
    <row r="720">
      <c r="A720" s="119"/>
      <c r="B720" s="12"/>
      <c r="C720" s="12"/>
      <c r="D720" s="13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</row>
    <row r="721">
      <c r="A721" s="119"/>
      <c r="B721" s="12"/>
      <c r="C721" s="12"/>
      <c r="D721" s="13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</row>
    <row r="722">
      <c r="A722" s="119"/>
      <c r="B722" s="12"/>
      <c r="C722" s="12"/>
      <c r="D722" s="13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</row>
    <row r="723">
      <c r="A723" s="119"/>
      <c r="B723" s="12"/>
      <c r="C723" s="12"/>
      <c r="D723" s="13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</row>
    <row r="724">
      <c r="A724" s="119"/>
      <c r="B724" s="12"/>
      <c r="C724" s="12"/>
      <c r="D724" s="13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</row>
    <row r="725">
      <c r="A725" s="119"/>
      <c r="B725" s="12"/>
      <c r="C725" s="12"/>
      <c r="D725" s="13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</row>
    <row r="726">
      <c r="A726" s="119"/>
      <c r="B726" s="12"/>
      <c r="C726" s="12"/>
      <c r="D726" s="13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</row>
    <row r="727">
      <c r="A727" s="119"/>
      <c r="B727" s="12"/>
      <c r="C727" s="12"/>
      <c r="D727" s="13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</row>
    <row r="728">
      <c r="A728" s="119"/>
      <c r="B728" s="12"/>
      <c r="C728" s="12"/>
      <c r="D728" s="13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</row>
    <row r="729">
      <c r="A729" s="119"/>
      <c r="B729" s="12"/>
      <c r="C729" s="12"/>
      <c r="D729" s="13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</row>
    <row r="730">
      <c r="A730" s="119"/>
      <c r="B730" s="12"/>
      <c r="C730" s="12"/>
      <c r="D730" s="13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</row>
    <row r="731">
      <c r="A731" s="119"/>
      <c r="B731" s="12"/>
      <c r="C731" s="12"/>
      <c r="D731" s="13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</row>
    <row r="732">
      <c r="A732" s="119"/>
      <c r="B732" s="12"/>
      <c r="C732" s="12"/>
      <c r="D732" s="13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</row>
    <row r="733">
      <c r="A733" s="119"/>
      <c r="B733" s="12"/>
      <c r="C733" s="12"/>
      <c r="D733" s="13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</row>
    <row r="734">
      <c r="A734" s="119"/>
      <c r="B734" s="12"/>
      <c r="C734" s="12"/>
      <c r="D734" s="13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</row>
    <row r="735">
      <c r="A735" s="119"/>
      <c r="B735" s="12"/>
      <c r="C735" s="12"/>
      <c r="D735" s="13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</row>
    <row r="736">
      <c r="A736" s="119"/>
      <c r="B736" s="12"/>
      <c r="C736" s="12"/>
      <c r="D736" s="13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</row>
    <row r="737">
      <c r="A737" s="119"/>
      <c r="B737" s="12"/>
      <c r="C737" s="12"/>
      <c r="D737" s="13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</row>
    <row r="738">
      <c r="A738" s="119"/>
      <c r="B738" s="12"/>
      <c r="C738" s="12"/>
      <c r="D738" s="13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</row>
    <row r="739">
      <c r="A739" s="119"/>
      <c r="B739" s="12"/>
      <c r="C739" s="12"/>
      <c r="D739" s="13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</row>
    <row r="740">
      <c r="A740" s="119"/>
      <c r="B740" s="12"/>
      <c r="C740" s="12"/>
      <c r="D740" s="13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</row>
    <row r="741">
      <c r="A741" s="119"/>
      <c r="B741" s="12"/>
      <c r="C741" s="12"/>
      <c r="D741" s="13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</row>
    <row r="742">
      <c r="A742" s="119"/>
      <c r="B742" s="12"/>
      <c r="C742" s="12"/>
      <c r="D742" s="13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</row>
    <row r="743">
      <c r="A743" s="119"/>
      <c r="B743" s="12"/>
      <c r="C743" s="12"/>
      <c r="D743" s="13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</row>
    <row r="744">
      <c r="A744" s="119"/>
      <c r="B744" s="12"/>
      <c r="C744" s="12"/>
      <c r="D744" s="13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</row>
    <row r="745">
      <c r="A745" s="119"/>
      <c r="B745" s="12"/>
      <c r="C745" s="12"/>
      <c r="D745" s="13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</row>
    <row r="746">
      <c r="A746" s="119"/>
      <c r="B746" s="12"/>
      <c r="C746" s="12"/>
      <c r="D746" s="13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</row>
    <row r="747">
      <c r="A747" s="119"/>
      <c r="B747" s="12"/>
      <c r="C747" s="12"/>
      <c r="D747" s="13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</row>
    <row r="748">
      <c r="A748" s="119"/>
      <c r="B748" s="12"/>
      <c r="C748" s="12"/>
      <c r="D748" s="13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</row>
    <row r="749">
      <c r="A749" s="119"/>
      <c r="B749" s="12"/>
      <c r="C749" s="12"/>
      <c r="D749" s="13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</row>
    <row r="750">
      <c r="A750" s="119"/>
      <c r="B750" s="12"/>
      <c r="C750" s="12"/>
      <c r="D750" s="13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</row>
    <row r="751">
      <c r="A751" s="119"/>
      <c r="B751" s="12"/>
      <c r="C751" s="12"/>
      <c r="D751" s="13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</row>
    <row r="752">
      <c r="A752" s="119"/>
      <c r="B752" s="12"/>
      <c r="C752" s="12"/>
      <c r="D752" s="13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</row>
    <row r="753">
      <c r="A753" s="119"/>
      <c r="B753" s="12"/>
      <c r="C753" s="12"/>
      <c r="D753" s="13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</row>
    <row r="754">
      <c r="A754" s="119"/>
      <c r="B754" s="12"/>
      <c r="C754" s="12"/>
      <c r="D754" s="13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</row>
    <row r="755">
      <c r="A755" s="119"/>
      <c r="B755" s="12"/>
      <c r="C755" s="12"/>
      <c r="D755" s="13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</row>
    <row r="756">
      <c r="A756" s="119"/>
      <c r="B756" s="12"/>
      <c r="C756" s="12"/>
      <c r="D756" s="13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</row>
    <row r="757">
      <c r="A757" s="119"/>
      <c r="B757" s="12"/>
      <c r="C757" s="12"/>
      <c r="D757" s="13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</row>
    <row r="758">
      <c r="A758" s="119"/>
      <c r="B758" s="12"/>
      <c r="C758" s="12"/>
      <c r="D758" s="13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</row>
    <row r="759">
      <c r="A759" s="119"/>
      <c r="B759" s="12"/>
      <c r="C759" s="12"/>
      <c r="D759" s="13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</row>
    <row r="760">
      <c r="A760" s="119"/>
      <c r="B760" s="12"/>
      <c r="C760" s="12"/>
      <c r="D760" s="13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</row>
    <row r="761">
      <c r="A761" s="119"/>
      <c r="B761" s="12"/>
      <c r="C761" s="12"/>
      <c r="D761" s="13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</row>
    <row r="762">
      <c r="A762" s="119"/>
      <c r="B762" s="12"/>
      <c r="C762" s="12"/>
      <c r="D762" s="13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</row>
    <row r="763">
      <c r="A763" s="119"/>
      <c r="B763" s="12"/>
      <c r="C763" s="12"/>
      <c r="D763" s="13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</row>
    <row r="764">
      <c r="A764" s="119"/>
      <c r="B764" s="12"/>
      <c r="C764" s="12"/>
      <c r="D764" s="13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</row>
    <row r="765">
      <c r="A765" s="119"/>
      <c r="B765" s="12"/>
      <c r="C765" s="12"/>
      <c r="D765" s="13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</row>
    <row r="766">
      <c r="A766" s="119"/>
      <c r="B766" s="12"/>
      <c r="C766" s="12"/>
      <c r="D766" s="13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</row>
    <row r="767">
      <c r="A767" s="119"/>
      <c r="B767" s="12"/>
      <c r="C767" s="12"/>
      <c r="D767" s="13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</row>
    <row r="768">
      <c r="A768" s="119"/>
      <c r="B768" s="12"/>
      <c r="C768" s="12"/>
      <c r="D768" s="13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</row>
    <row r="769">
      <c r="A769" s="119"/>
      <c r="B769" s="12"/>
      <c r="C769" s="12"/>
      <c r="D769" s="13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</row>
    <row r="770">
      <c r="A770" s="119"/>
      <c r="B770" s="12"/>
      <c r="C770" s="12"/>
      <c r="D770" s="13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</row>
    <row r="771">
      <c r="A771" s="119"/>
      <c r="B771" s="12"/>
      <c r="C771" s="12"/>
      <c r="D771" s="13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</row>
    <row r="772">
      <c r="A772" s="119"/>
      <c r="B772" s="12"/>
      <c r="C772" s="12"/>
      <c r="D772" s="13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</row>
    <row r="773">
      <c r="A773" s="119"/>
      <c r="B773" s="12"/>
      <c r="C773" s="12"/>
      <c r="D773" s="13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</row>
    <row r="774">
      <c r="A774" s="119"/>
      <c r="B774" s="12"/>
      <c r="C774" s="12"/>
      <c r="D774" s="13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</row>
    <row r="775">
      <c r="A775" s="119"/>
      <c r="B775" s="12"/>
      <c r="C775" s="12"/>
      <c r="D775" s="13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</row>
    <row r="776">
      <c r="A776" s="119"/>
      <c r="B776" s="12"/>
      <c r="C776" s="12"/>
      <c r="D776" s="13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</row>
    <row r="777">
      <c r="A777" s="119"/>
      <c r="B777" s="12"/>
      <c r="C777" s="12"/>
      <c r="D777" s="13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</row>
    <row r="778">
      <c r="A778" s="119"/>
      <c r="B778" s="12"/>
      <c r="C778" s="12"/>
      <c r="D778" s="13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</row>
    <row r="779">
      <c r="A779" s="119"/>
      <c r="B779" s="12"/>
      <c r="C779" s="12"/>
      <c r="D779" s="13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</row>
    <row r="780">
      <c r="A780" s="119"/>
      <c r="B780" s="12"/>
      <c r="C780" s="12"/>
      <c r="D780" s="13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</row>
    <row r="781">
      <c r="A781" s="119"/>
      <c r="B781" s="12"/>
      <c r="C781" s="12"/>
      <c r="D781" s="13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</row>
    <row r="782">
      <c r="A782" s="119"/>
      <c r="B782" s="12"/>
      <c r="C782" s="12"/>
      <c r="D782" s="13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</row>
    <row r="783">
      <c r="A783" s="119"/>
      <c r="B783" s="12"/>
      <c r="C783" s="12"/>
      <c r="D783" s="13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</row>
    <row r="784">
      <c r="A784" s="119"/>
      <c r="B784" s="12"/>
      <c r="C784" s="12"/>
      <c r="D784" s="13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</row>
    <row r="785">
      <c r="A785" s="119"/>
      <c r="B785" s="12"/>
      <c r="C785" s="12"/>
      <c r="D785" s="13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</row>
    <row r="786">
      <c r="A786" s="119"/>
      <c r="B786" s="12"/>
      <c r="C786" s="12"/>
      <c r="D786" s="13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</row>
    <row r="787">
      <c r="A787" s="119"/>
      <c r="B787" s="12"/>
      <c r="C787" s="12"/>
      <c r="D787" s="13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</row>
    <row r="788">
      <c r="A788" s="119"/>
      <c r="B788" s="12"/>
      <c r="C788" s="12"/>
      <c r="D788" s="13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</row>
    <row r="789">
      <c r="A789" s="119"/>
      <c r="B789" s="12"/>
      <c r="C789" s="12"/>
      <c r="D789" s="13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</row>
    <row r="790">
      <c r="A790" s="119"/>
      <c r="B790" s="12"/>
      <c r="C790" s="12"/>
      <c r="D790" s="13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</row>
    <row r="791">
      <c r="A791" s="119"/>
      <c r="B791" s="12"/>
      <c r="C791" s="12"/>
      <c r="D791" s="13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</row>
    <row r="792">
      <c r="A792" s="119"/>
      <c r="B792" s="12"/>
      <c r="C792" s="12"/>
      <c r="D792" s="13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</row>
    <row r="793">
      <c r="A793" s="119"/>
      <c r="B793" s="12"/>
      <c r="C793" s="12"/>
      <c r="D793" s="13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</row>
    <row r="794">
      <c r="A794" s="119"/>
      <c r="B794" s="12"/>
      <c r="C794" s="12"/>
      <c r="D794" s="13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</row>
    <row r="795">
      <c r="A795" s="119"/>
      <c r="B795" s="12"/>
      <c r="C795" s="12"/>
      <c r="D795" s="13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</row>
    <row r="796">
      <c r="A796" s="119"/>
      <c r="B796" s="12"/>
      <c r="C796" s="12"/>
      <c r="D796" s="13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</row>
    <row r="797">
      <c r="A797" s="119"/>
      <c r="B797" s="12"/>
      <c r="C797" s="12"/>
      <c r="D797" s="13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</row>
    <row r="798">
      <c r="A798" s="119"/>
      <c r="B798" s="12"/>
      <c r="C798" s="12"/>
      <c r="D798" s="13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</row>
    <row r="799">
      <c r="A799" s="119"/>
      <c r="B799" s="12"/>
      <c r="C799" s="12"/>
      <c r="D799" s="13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</row>
    <row r="800">
      <c r="A800" s="119"/>
      <c r="B800" s="12"/>
      <c r="C800" s="12"/>
      <c r="D800" s="13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</row>
    <row r="801">
      <c r="A801" s="119"/>
      <c r="B801" s="12"/>
      <c r="C801" s="12"/>
      <c r="D801" s="13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</row>
    <row r="802">
      <c r="A802" s="119"/>
      <c r="B802" s="12"/>
      <c r="C802" s="12"/>
      <c r="D802" s="13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</row>
    <row r="803">
      <c r="A803" s="119"/>
      <c r="B803" s="12"/>
      <c r="C803" s="12"/>
      <c r="D803" s="13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</row>
    <row r="804">
      <c r="A804" s="119"/>
      <c r="B804" s="12"/>
      <c r="C804" s="12"/>
      <c r="D804" s="13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</row>
    <row r="805">
      <c r="A805" s="119"/>
      <c r="B805" s="12"/>
      <c r="C805" s="12"/>
      <c r="D805" s="13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</row>
    <row r="806">
      <c r="A806" s="119"/>
      <c r="B806" s="12"/>
      <c r="C806" s="12"/>
      <c r="D806" s="13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</row>
    <row r="807">
      <c r="A807" s="119"/>
      <c r="B807" s="12"/>
      <c r="C807" s="12"/>
      <c r="D807" s="13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</row>
    <row r="808">
      <c r="A808" s="119"/>
      <c r="B808" s="12"/>
      <c r="C808" s="12"/>
      <c r="D808" s="13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</row>
    <row r="809">
      <c r="A809" s="119"/>
      <c r="B809" s="12"/>
      <c r="C809" s="12"/>
      <c r="D809" s="13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</row>
    <row r="810">
      <c r="A810" s="119"/>
      <c r="B810" s="12"/>
      <c r="C810" s="12"/>
      <c r="D810" s="13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</row>
    <row r="811">
      <c r="A811" s="119"/>
      <c r="B811" s="12"/>
      <c r="C811" s="12"/>
      <c r="D811" s="13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</row>
    <row r="812">
      <c r="A812" s="119"/>
      <c r="B812" s="12"/>
      <c r="C812" s="12"/>
      <c r="D812" s="13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</row>
    <row r="813">
      <c r="A813" s="119"/>
      <c r="B813" s="12"/>
      <c r="C813" s="12"/>
      <c r="D813" s="13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</row>
    <row r="814">
      <c r="A814" s="119"/>
      <c r="B814" s="12"/>
      <c r="C814" s="12"/>
      <c r="D814" s="13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</row>
    <row r="815">
      <c r="A815" s="119"/>
      <c r="B815" s="12"/>
      <c r="C815" s="12"/>
      <c r="D815" s="13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</row>
    <row r="816">
      <c r="A816" s="119"/>
      <c r="B816" s="12"/>
      <c r="C816" s="12"/>
      <c r="D816" s="13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</row>
    <row r="817">
      <c r="A817" s="119"/>
      <c r="B817" s="12"/>
      <c r="C817" s="12"/>
      <c r="D817" s="13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</row>
    <row r="818">
      <c r="A818" s="119"/>
      <c r="B818" s="12"/>
      <c r="C818" s="12"/>
      <c r="D818" s="13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</row>
    <row r="819">
      <c r="A819" s="119"/>
      <c r="B819" s="12"/>
      <c r="C819" s="12"/>
      <c r="D819" s="13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</row>
    <row r="820">
      <c r="A820" s="119"/>
      <c r="B820" s="12"/>
      <c r="C820" s="12"/>
      <c r="D820" s="13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</row>
    <row r="821">
      <c r="A821" s="119"/>
      <c r="B821" s="12"/>
      <c r="C821" s="12"/>
      <c r="D821" s="13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</row>
    <row r="822">
      <c r="A822" s="119"/>
      <c r="B822" s="12"/>
      <c r="C822" s="12"/>
      <c r="D822" s="13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</row>
    <row r="823">
      <c r="A823" s="119"/>
      <c r="B823" s="12"/>
      <c r="C823" s="12"/>
      <c r="D823" s="13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</row>
    <row r="824">
      <c r="A824" s="119"/>
      <c r="B824" s="12"/>
      <c r="C824" s="12"/>
      <c r="D824" s="13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</row>
    <row r="825">
      <c r="A825" s="119"/>
      <c r="B825" s="12"/>
      <c r="C825" s="12"/>
      <c r="D825" s="13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</row>
    <row r="826">
      <c r="A826" s="119"/>
      <c r="B826" s="12"/>
      <c r="C826" s="12"/>
      <c r="D826" s="13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</row>
    <row r="827">
      <c r="A827" s="119"/>
      <c r="B827" s="12"/>
      <c r="C827" s="12"/>
      <c r="D827" s="13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</row>
    <row r="828">
      <c r="A828" s="119"/>
      <c r="B828" s="12"/>
      <c r="C828" s="12"/>
      <c r="D828" s="13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</row>
    <row r="829">
      <c r="A829" s="119"/>
      <c r="B829" s="12"/>
      <c r="C829" s="12"/>
      <c r="D829" s="13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</row>
    <row r="830">
      <c r="A830" s="119"/>
      <c r="B830" s="12"/>
      <c r="C830" s="12"/>
      <c r="D830" s="13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</row>
    <row r="831">
      <c r="A831" s="119"/>
      <c r="B831" s="12"/>
      <c r="C831" s="12"/>
      <c r="D831" s="13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</row>
    <row r="832">
      <c r="A832" s="119"/>
      <c r="B832" s="12"/>
      <c r="C832" s="12"/>
      <c r="D832" s="13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</row>
    <row r="833">
      <c r="A833" s="119"/>
      <c r="B833" s="12"/>
      <c r="C833" s="12"/>
      <c r="D833" s="13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</row>
    <row r="834">
      <c r="A834" s="119"/>
      <c r="B834" s="12"/>
      <c r="C834" s="12"/>
      <c r="D834" s="13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</row>
    <row r="835">
      <c r="A835" s="119"/>
      <c r="B835" s="12"/>
      <c r="C835" s="12"/>
      <c r="D835" s="13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</row>
    <row r="836">
      <c r="A836" s="119"/>
      <c r="B836" s="12"/>
      <c r="C836" s="12"/>
      <c r="D836" s="13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</row>
    <row r="837">
      <c r="A837" s="119"/>
      <c r="B837" s="12"/>
      <c r="C837" s="12"/>
      <c r="D837" s="13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</row>
    <row r="838">
      <c r="A838" s="119"/>
      <c r="B838" s="12"/>
      <c r="C838" s="12"/>
      <c r="D838" s="13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</row>
    <row r="839">
      <c r="A839" s="119"/>
      <c r="B839" s="12"/>
      <c r="C839" s="12"/>
      <c r="D839" s="13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</row>
    <row r="840">
      <c r="A840" s="119"/>
      <c r="B840" s="12"/>
      <c r="C840" s="12"/>
      <c r="D840" s="13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</row>
    <row r="841">
      <c r="A841" s="119"/>
      <c r="B841" s="12"/>
      <c r="C841" s="12"/>
      <c r="D841" s="13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</row>
    <row r="842">
      <c r="A842" s="119"/>
      <c r="B842" s="12"/>
      <c r="C842" s="12"/>
      <c r="D842" s="13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</row>
    <row r="843">
      <c r="A843" s="119"/>
      <c r="B843" s="12"/>
      <c r="C843" s="12"/>
      <c r="D843" s="13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</row>
    <row r="844">
      <c r="A844" s="119"/>
      <c r="B844" s="12"/>
      <c r="C844" s="12"/>
      <c r="D844" s="13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</row>
    <row r="845">
      <c r="A845" s="119"/>
      <c r="B845" s="12"/>
      <c r="C845" s="12"/>
      <c r="D845" s="13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</row>
    <row r="846">
      <c r="A846" s="119"/>
      <c r="B846" s="12"/>
      <c r="C846" s="12"/>
      <c r="D846" s="13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</row>
    <row r="847">
      <c r="A847" s="119"/>
      <c r="B847" s="12"/>
      <c r="C847" s="12"/>
      <c r="D847" s="13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</row>
    <row r="848">
      <c r="A848" s="119"/>
      <c r="B848" s="12"/>
      <c r="C848" s="12"/>
      <c r="D848" s="13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</row>
    <row r="849">
      <c r="A849" s="119"/>
      <c r="B849" s="12"/>
      <c r="C849" s="12"/>
      <c r="D849" s="13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</row>
    <row r="850">
      <c r="A850" s="119"/>
      <c r="B850" s="12"/>
      <c r="C850" s="12"/>
      <c r="D850" s="13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</row>
    <row r="851">
      <c r="A851" s="119"/>
      <c r="B851" s="12"/>
      <c r="C851" s="12"/>
      <c r="D851" s="13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</row>
    <row r="852">
      <c r="A852" s="119"/>
      <c r="B852" s="12"/>
      <c r="C852" s="12"/>
      <c r="D852" s="13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</row>
    <row r="853">
      <c r="A853" s="119"/>
      <c r="B853" s="12"/>
      <c r="C853" s="12"/>
      <c r="D853" s="13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</row>
    <row r="854">
      <c r="A854" s="119"/>
      <c r="B854" s="12"/>
      <c r="C854" s="12"/>
      <c r="D854" s="13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</row>
    <row r="855">
      <c r="A855" s="119"/>
      <c r="B855" s="12"/>
      <c r="C855" s="12"/>
      <c r="D855" s="13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</row>
    <row r="856">
      <c r="A856" s="119"/>
      <c r="B856" s="12"/>
      <c r="C856" s="12"/>
      <c r="D856" s="13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</row>
    <row r="857">
      <c r="A857" s="119"/>
      <c r="B857" s="12"/>
      <c r="C857" s="12"/>
      <c r="D857" s="13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</row>
    <row r="858">
      <c r="A858" s="119"/>
      <c r="B858" s="12"/>
      <c r="C858" s="12"/>
      <c r="D858" s="13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</row>
    <row r="859">
      <c r="A859" s="119"/>
      <c r="B859" s="12"/>
      <c r="C859" s="12"/>
      <c r="D859" s="13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</row>
    <row r="860">
      <c r="A860" s="119"/>
      <c r="B860" s="12"/>
      <c r="C860" s="12"/>
      <c r="D860" s="13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</row>
    <row r="861">
      <c r="A861" s="119"/>
      <c r="B861" s="12"/>
      <c r="C861" s="12"/>
      <c r="D861" s="13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</row>
    <row r="862">
      <c r="A862" s="119"/>
      <c r="B862" s="12"/>
      <c r="C862" s="12"/>
      <c r="D862" s="13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</row>
    <row r="863">
      <c r="A863" s="119"/>
      <c r="B863" s="12"/>
      <c r="C863" s="12"/>
      <c r="D863" s="13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</row>
    <row r="864">
      <c r="A864" s="119"/>
      <c r="B864" s="12"/>
      <c r="C864" s="12"/>
      <c r="D864" s="13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</row>
    <row r="865">
      <c r="A865" s="119"/>
      <c r="B865" s="12"/>
      <c r="C865" s="12"/>
      <c r="D865" s="13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</row>
    <row r="866">
      <c r="A866" s="119"/>
      <c r="B866" s="12"/>
      <c r="C866" s="12"/>
      <c r="D866" s="13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</row>
    <row r="867">
      <c r="A867" s="119"/>
      <c r="B867" s="12"/>
      <c r="C867" s="12"/>
      <c r="D867" s="13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</row>
    <row r="868">
      <c r="A868" s="119"/>
      <c r="B868" s="12"/>
      <c r="C868" s="12"/>
      <c r="D868" s="13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</row>
    <row r="869">
      <c r="A869" s="119"/>
      <c r="B869" s="12"/>
      <c r="C869" s="12"/>
      <c r="D869" s="13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</row>
    <row r="870">
      <c r="A870" s="119"/>
      <c r="B870" s="12"/>
      <c r="C870" s="12"/>
      <c r="D870" s="13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</row>
    <row r="871">
      <c r="A871" s="119"/>
      <c r="B871" s="12"/>
      <c r="C871" s="12"/>
      <c r="D871" s="13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</row>
    <row r="872">
      <c r="A872" s="119"/>
      <c r="B872" s="12"/>
      <c r="C872" s="12"/>
      <c r="D872" s="13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</row>
    <row r="873">
      <c r="A873" s="119"/>
      <c r="B873" s="12"/>
      <c r="C873" s="12"/>
      <c r="D873" s="13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</row>
    <row r="874">
      <c r="A874" s="119"/>
      <c r="B874" s="12"/>
      <c r="C874" s="12"/>
      <c r="D874" s="13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</row>
    <row r="875">
      <c r="A875" s="119"/>
      <c r="B875" s="12"/>
      <c r="C875" s="12"/>
      <c r="D875" s="13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</row>
    <row r="876">
      <c r="A876" s="119"/>
      <c r="B876" s="12"/>
      <c r="C876" s="12"/>
      <c r="D876" s="13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</row>
    <row r="877">
      <c r="A877" s="119"/>
      <c r="B877" s="12"/>
      <c r="C877" s="12"/>
      <c r="D877" s="13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</row>
    <row r="878">
      <c r="A878" s="119"/>
      <c r="B878" s="12"/>
      <c r="C878" s="12"/>
      <c r="D878" s="13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</row>
    <row r="879">
      <c r="A879" s="119"/>
      <c r="B879" s="12"/>
      <c r="C879" s="12"/>
      <c r="D879" s="13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</row>
    <row r="880">
      <c r="A880" s="119"/>
      <c r="B880" s="12"/>
      <c r="C880" s="12"/>
      <c r="D880" s="13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</row>
    <row r="881">
      <c r="A881" s="119"/>
      <c r="B881" s="12"/>
      <c r="C881" s="12"/>
      <c r="D881" s="13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</row>
    <row r="882">
      <c r="A882" s="119"/>
      <c r="B882" s="12"/>
      <c r="C882" s="12"/>
      <c r="D882" s="13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</row>
    <row r="883">
      <c r="A883" s="119"/>
      <c r="B883" s="12"/>
      <c r="C883" s="12"/>
      <c r="D883" s="13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</row>
    <row r="884">
      <c r="A884" s="119"/>
      <c r="B884" s="12"/>
      <c r="C884" s="12"/>
      <c r="D884" s="13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</row>
    <row r="885">
      <c r="A885" s="119"/>
      <c r="B885" s="12"/>
      <c r="C885" s="12"/>
      <c r="D885" s="13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</row>
    <row r="886">
      <c r="A886" s="119"/>
      <c r="B886" s="12"/>
      <c r="C886" s="12"/>
      <c r="D886" s="13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</row>
    <row r="887">
      <c r="A887" s="119"/>
      <c r="B887" s="12"/>
      <c r="C887" s="12"/>
      <c r="D887" s="13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</row>
    <row r="888">
      <c r="A888" s="119"/>
      <c r="B888" s="12"/>
      <c r="C888" s="12"/>
      <c r="D888" s="13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</row>
    <row r="889">
      <c r="A889" s="119"/>
      <c r="B889" s="12"/>
      <c r="C889" s="12"/>
      <c r="D889" s="13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</row>
    <row r="890">
      <c r="A890" s="119"/>
      <c r="B890" s="12"/>
      <c r="C890" s="12"/>
      <c r="D890" s="13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</row>
    <row r="891">
      <c r="A891" s="119"/>
      <c r="B891" s="12"/>
      <c r="C891" s="12"/>
      <c r="D891" s="13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</row>
    <row r="892">
      <c r="A892" s="119"/>
      <c r="B892" s="12"/>
      <c r="C892" s="12"/>
      <c r="D892" s="13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</row>
    <row r="893">
      <c r="A893" s="119"/>
      <c r="B893" s="12"/>
      <c r="C893" s="12"/>
      <c r="D893" s="13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</row>
    <row r="894">
      <c r="A894" s="119"/>
      <c r="B894" s="12"/>
      <c r="C894" s="12"/>
      <c r="D894" s="13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</row>
    <row r="895">
      <c r="A895" s="119"/>
      <c r="B895" s="12"/>
      <c r="C895" s="12"/>
      <c r="D895" s="13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</row>
    <row r="896">
      <c r="A896" s="119"/>
      <c r="B896" s="12"/>
      <c r="C896" s="12"/>
      <c r="D896" s="13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</row>
    <row r="897">
      <c r="A897" s="119"/>
      <c r="B897" s="12"/>
      <c r="C897" s="12"/>
      <c r="D897" s="13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</row>
    <row r="898">
      <c r="A898" s="119"/>
      <c r="B898" s="12"/>
      <c r="C898" s="12"/>
      <c r="D898" s="13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</row>
    <row r="899">
      <c r="A899" s="119"/>
      <c r="B899" s="12"/>
      <c r="C899" s="12"/>
      <c r="D899" s="13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</row>
    <row r="900">
      <c r="A900" s="119"/>
      <c r="B900" s="12"/>
      <c r="C900" s="12"/>
      <c r="D900" s="13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</row>
    <row r="901">
      <c r="A901" s="119"/>
      <c r="B901" s="12"/>
      <c r="C901" s="12"/>
      <c r="D901" s="13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</row>
    <row r="902">
      <c r="A902" s="119"/>
      <c r="B902" s="12"/>
      <c r="C902" s="12"/>
      <c r="D902" s="13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</row>
    <row r="903">
      <c r="A903" s="119"/>
      <c r="B903" s="12"/>
      <c r="C903" s="12"/>
      <c r="D903" s="13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>
      <c r="A904" s="119"/>
      <c r="B904" s="12"/>
      <c r="C904" s="12"/>
      <c r="D904" s="13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</row>
    <row r="905">
      <c r="A905" s="119"/>
      <c r="B905" s="12"/>
      <c r="C905" s="12"/>
      <c r="D905" s="13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</row>
    <row r="906">
      <c r="A906" s="119"/>
      <c r="B906" s="12"/>
      <c r="C906" s="12"/>
      <c r="D906" s="13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</row>
    <row r="907">
      <c r="A907" s="119"/>
      <c r="B907" s="12"/>
      <c r="C907" s="12"/>
      <c r="D907" s="13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</row>
    <row r="908">
      <c r="A908" s="119"/>
      <c r="B908" s="12"/>
      <c r="C908" s="12"/>
      <c r="D908" s="13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</row>
    <row r="909">
      <c r="A909" s="119"/>
      <c r="B909" s="12"/>
      <c r="C909" s="12"/>
      <c r="D909" s="13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</row>
    <row r="910">
      <c r="A910" s="119"/>
      <c r="B910" s="12"/>
      <c r="C910" s="12"/>
      <c r="D910" s="13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</row>
    <row r="911">
      <c r="A911" s="119"/>
      <c r="B911" s="12"/>
      <c r="C911" s="12"/>
      <c r="D911" s="13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</row>
    <row r="912">
      <c r="A912" s="119"/>
      <c r="B912" s="12"/>
      <c r="C912" s="12"/>
      <c r="D912" s="13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</row>
    <row r="913">
      <c r="A913" s="119"/>
      <c r="B913" s="12"/>
      <c r="C913" s="12"/>
      <c r="D913" s="13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</row>
    <row r="914">
      <c r="A914" s="119"/>
      <c r="B914" s="12"/>
      <c r="C914" s="12"/>
      <c r="D914" s="13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</row>
    <row r="915">
      <c r="A915" s="119"/>
      <c r="B915" s="12"/>
      <c r="C915" s="12"/>
      <c r="D915" s="13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</row>
    <row r="916">
      <c r="A916" s="119"/>
      <c r="B916" s="12"/>
      <c r="C916" s="12"/>
      <c r="D916" s="13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</row>
    <row r="917">
      <c r="A917" s="119"/>
      <c r="B917" s="12"/>
      <c r="C917" s="12"/>
      <c r="D917" s="13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</row>
    <row r="918">
      <c r="A918" s="119"/>
      <c r="B918" s="12"/>
      <c r="C918" s="12"/>
      <c r="D918" s="13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</row>
    <row r="919">
      <c r="A919" s="119"/>
      <c r="B919" s="12"/>
      <c r="C919" s="12"/>
      <c r="D919" s="13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</row>
    <row r="920">
      <c r="A920" s="119"/>
      <c r="B920" s="12"/>
      <c r="C920" s="12"/>
      <c r="D920" s="13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</row>
    <row r="921">
      <c r="A921" s="119"/>
      <c r="B921" s="12"/>
      <c r="C921" s="12"/>
      <c r="D921" s="13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</row>
    <row r="922">
      <c r="A922" s="119"/>
      <c r="B922" s="12"/>
      <c r="C922" s="12"/>
      <c r="D922" s="13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</row>
    <row r="923">
      <c r="A923" s="119"/>
      <c r="B923" s="12"/>
      <c r="C923" s="12"/>
      <c r="D923" s="13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</row>
    <row r="924">
      <c r="A924" s="119"/>
      <c r="B924" s="12"/>
      <c r="C924" s="12"/>
      <c r="D924" s="13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</row>
    <row r="925">
      <c r="A925" s="119"/>
      <c r="B925" s="12"/>
      <c r="C925" s="12"/>
      <c r="D925" s="13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</row>
    <row r="926">
      <c r="A926" s="119"/>
      <c r="B926" s="12"/>
      <c r="C926" s="12"/>
      <c r="D926" s="13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</row>
    <row r="927">
      <c r="A927" s="119"/>
      <c r="B927" s="12"/>
      <c r="C927" s="12"/>
      <c r="D927" s="13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</row>
    <row r="928">
      <c r="A928" s="119"/>
      <c r="B928" s="12"/>
      <c r="C928" s="12"/>
      <c r="D928" s="13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</row>
    <row r="929">
      <c r="A929" s="119"/>
      <c r="B929" s="12"/>
      <c r="C929" s="12"/>
      <c r="D929" s="13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</row>
    <row r="930">
      <c r="A930" s="119"/>
      <c r="B930" s="12"/>
      <c r="C930" s="12"/>
      <c r="D930" s="13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</row>
    <row r="931">
      <c r="A931" s="119"/>
      <c r="B931" s="12"/>
      <c r="C931" s="12"/>
      <c r="D931" s="13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</row>
    <row r="932">
      <c r="A932" s="119"/>
      <c r="B932" s="12"/>
      <c r="C932" s="12"/>
      <c r="D932" s="13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</row>
    <row r="933">
      <c r="A933" s="119"/>
      <c r="B933" s="12"/>
      <c r="C933" s="12"/>
      <c r="D933" s="13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</row>
    <row r="934">
      <c r="A934" s="119"/>
      <c r="B934" s="12"/>
      <c r="C934" s="12"/>
      <c r="D934" s="13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</row>
    <row r="935">
      <c r="A935" s="119"/>
      <c r="B935" s="12"/>
      <c r="C935" s="12"/>
      <c r="D935" s="13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</row>
    <row r="936">
      <c r="A936" s="119"/>
      <c r="B936" s="12"/>
      <c r="C936" s="12"/>
      <c r="D936" s="13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</row>
    <row r="937">
      <c r="A937" s="119"/>
      <c r="B937" s="12"/>
      <c r="C937" s="12"/>
      <c r="D937" s="13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</row>
    <row r="938">
      <c r="A938" s="119"/>
      <c r="B938" s="12"/>
      <c r="C938" s="12"/>
      <c r="D938" s="13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</row>
    <row r="939">
      <c r="A939" s="119"/>
      <c r="B939" s="12"/>
      <c r="C939" s="12"/>
      <c r="D939" s="13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</row>
    <row r="940">
      <c r="A940" s="119"/>
      <c r="B940" s="12"/>
      <c r="C940" s="12"/>
      <c r="D940" s="13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</row>
    <row r="941">
      <c r="A941" s="119"/>
      <c r="B941" s="12"/>
      <c r="C941" s="12"/>
      <c r="D941" s="13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</row>
    <row r="942">
      <c r="A942" s="119"/>
      <c r="B942" s="12"/>
      <c r="C942" s="12"/>
      <c r="D942" s="13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</row>
    <row r="943">
      <c r="A943" s="119"/>
      <c r="B943" s="12"/>
      <c r="C943" s="12"/>
      <c r="D943" s="13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</row>
    <row r="944">
      <c r="A944" s="119"/>
      <c r="B944" s="12"/>
      <c r="C944" s="12"/>
      <c r="D944" s="13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</row>
    <row r="945">
      <c r="A945" s="119"/>
      <c r="B945" s="12"/>
      <c r="C945" s="12"/>
      <c r="D945" s="13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</row>
    <row r="946">
      <c r="A946" s="119"/>
      <c r="B946" s="12"/>
      <c r="C946" s="12"/>
      <c r="D946" s="13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</row>
    <row r="947">
      <c r="A947" s="119"/>
      <c r="B947" s="12"/>
      <c r="C947" s="12"/>
      <c r="D947" s="13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</row>
    <row r="948">
      <c r="A948" s="119"/>
      <c r="B948" s="12"/>
      <c r="C948" s="12"/>
      <c r="D948" s="13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</row>
    <row r="949">
      <c r="A949" s="119"/>
      <c r="B949" s="12"/>
      <c r="C949" s="12"/>
      <c r="D949" s="13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</row>
    <row r="950">
      <c r="A950" s="119"/>
      <c r="B950" s="12"/>
      <c r="C950" s="12"/>
      <c r="D950" s="13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</row>
    <row r="951">
      <c r="A951" s="119"/>
      <c r="B951" s="12"/>
      <c r="C951" s="12"/>
      <c r="D951" s="13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</row>
    <row r="952">
      <c r="A952" s="119"/>
      <c r="B952" s="12"/>
      <c r="C952" s="12"/>
      <c r="D952" s="13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</row>
    <row r="953">
      <c r="A953" s="119"/>
      <c r="B953" s="12"/>
      <c r="C953" s="12"/>
      <c r="D953" s="13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</row>
    <row r="954">
      <c r="A954" s="119"/>
      <c r="B954" s="12"/>
      <c r="C954" s="12"/>
      <c r="D954" s="13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</row>
    <row r="955">
      <c r="A955" s="119"/>
      <c r="B955" s="12"/>
      <c r="C955" s="12"/>
      <c r="D955" s="13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</row>
    <row r="956">
      <c r="A956" s="119"/>
      <c r="B956" s="12"/>
      <c r="C956" s="12"/>
      <c r="D956" s="13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</row>
    <row r="957">
      <c r="A957" s="119"/>
      <c r="B957" s="12"/>
      <c r="C957" s="12"/>
      <c r="D957" s="13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</row>
    <row r="958">
      <c r="A958" s="119"/>
      <c r="B958" s="12"/>
      <c r="C958" s="12"/>
      <c r="D958" s="13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</row>
    <row r="959">
      <c r="A959" s="119"/>
      <c r="B959" s="12"/>
      <c r="C959" s="12"/>
      <c r="D959" s="13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</row>
    <row r="960">
      <c r="A960" s="119"/>
      <c r="B960" s="12"/>
      <c r="C960" s="12"/>
      <c r="D960" s="13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</row>
    <row r="961">
      <c r="A961" s="119"/>
      <c r="B961" s="12"/>
      <c r="C961" s="12"/>
      <c r="D961" s="13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</row>
    <row r="962">
      <c r="A962" s="119"/>
      <c r="B962" s="12"/>
      <c r="C962" s="12"/>
      <c r="D962" s="13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</row>
    <row r="963">
      <c r="A963" s="119"/>
      <c r="B963" s="12"/>
      <c r="C963" s="12"/>
      <c r="D963" s="13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</row>
    <row r="964">
      <c r="A964" s="119"/>
      <c r="B964" s="12"/>
      <c r="C964" s="12"/>
      <c r="D964" s="13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</row>
    <row r="965">
      <c r="A965" s="119"/>
      <c r="B965" s="12"/>
      <c r="C965" s="12"/>
      <c r="D965" s="13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</row>
    <row r="966">
      <c r="A966" s="119"/>
      <c r="B966" s="12"/>
      <c r="C966" s="12"/>
      <c r="D966" s="13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</row>
    <row r="967">
      <c r="A967" s="119"/>
      <c r="B967" s="12"/>
      <c r="C967" s="12"/>
      <c r="D967" s="13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</row>
    <row r="968">
      <c r="A968" s="119"/>
      <c r="B968" s="12"/>
      <c r="C968" s="12"/>
      <c r="D968" s="13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</row>
    <row r="969">
      <c r="A969" s="119"/>
      <c r="B969" s="12"/>
      <c r="C969" s="12"/>
      <c r="D969" s="13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</row>
    <row r="970">
      <c r="A970" s="119"/>
      <c r="B970" s="12"/>
      <c r="C970" s="12"/>
      <c r="D970" s="13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</row>
    <row r="971">
      <c r="A971" s="119"/>
      <c r="B971" s="12"/>
      <c r="C971" s="12"/>
      <c r="D971" s="13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</row>
    <row r="972">
      <c r="A972" s="119"/>
      <c r="B972" s="12"/>
      <c r="C972" s="12"/>
      <c r="D972" s="13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</row>
  </sheetData>
  <mergeCells count="1">
    <mergeCell ref="A1:E1"/>
  </mergeCells>
  <hyperlinks>
    <hyperlink r:id="rId1" ref="B3"/>
    <hyperlink r:id="rId2" ref="C3"/>
    <hyperlink r:id="rId3" ref="A5"/>
    <hyperlink r:id="rId4" ref="B5"/>
    <hyperlink r:id="rId5" ref="C5"/>
    <hyperlink r:id="rId6" ref="A6"/>
    <hyperlink r:id="rId7" ref="A7"/>
    <hyperlink r:id="rId8" ref="C7"/>
    <hyperlink r:id="rId9" ref="A8"/>
    <hyperlink r:id="rId10" ref="C8"/>
    <hyperlink r:id="rId11" ref="A9"/>
    <hyperlink r:id="rId12" ref="C9"/>
    <hyperlink r:id="rId13" ref="A10"/>
    <hyperlink r:id="rId14" ref="C10"/>
    <hyperlink r:id="rId15" ref="A11"/>
    <hyperlink r:id="rId16" ref="B11"/>
    <hyperlink r:id="rId17" ref="C11"/>
  </hyperlinks>
  <printOptions/>
  <pageMargins bottom="0.75" footer="0.0" header="0.0" left="0.7" right="0.7" top="0.75"/>
  <pageSetup orientation="landscape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4.44"/>
    <col customWidth="1" min="2" max="2" width="48.89"/>
    <col customWidth="1" min="3" max="3" width="87.44"/>
    <col customWidth="1" min="4" max="4" width="15.22"/>
    <col customWidth="1" min="5" max="5" width="11.11"/>
    <col customWidth="1" min="6" max="24" width="6.78"/>
  </cols>
  <sheetData>
    <row r="1">
      <c r="A1" s="1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1" t="s">
        <v>4</v>
      </c>
      <c r="B2" s="11" t="s">
        <v>5</v>
      </c>
      <c r="C2" s="13" t="s">
        <v>7</v>
      </c>
      <c r="D2" s="13" t="s">
        <v>8</v>
      </c>
      <c r="E2" s="13" t="s">
        <v>9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41.75" customHeight="1">
      <c r="A3" s="170" t="s">
        <v>174</v>
      </c>
      <c r="B3" s="171" t="s">
        <v>175</v>
      </c>
      <c r="C3" s="72" t="s">
        <v>176</v>
      </c>
      <c r="D3" s="146" t="s">
        <v>83</v>
      </c>
      <c r="E3" s="65" t="s">
        <v>13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176.25" customHeight="1">
      <c r="A4" s="172" t="s">
        <v>177</v>
      </c>
      <c r="B4" s="19" t="s">
        <v>178</v>
      </c>
      <c r="C4" s="173" t="s">
        <v>179</v>
      </c>
      <c r="D4" s="136" t="s">
        <v>138</v>
      </c>
      <c r="E4" s="174" t="s">
        <v>13</v>
      </c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</row>
    <row r="5" ht="161.25" customHeight="1">
      <c r="A5" s="176" t="s">
        <v>180</v>
      </c>
      <c r="B5" s="145" t="s">
        <v>181</v>
      </c>
      <c r="C5" s="36" t="s">
        <v>182</v>
      </c>
      <c r="D5" s="158"/>
      <c r="E5" s="177"/>
      <c r="F5" s="178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264.75" customHeight="1">
      <c r="A6" s="170" t="s">
        <v>183</v>
      </c>
      <c r="B6" s="115" t="s">
        <v>184</v>
      </c>
      <c r="C6" s="115" t="s">
        <v>185</v>
      </c>
      <c r="D6" s="61">
        <v>46752.0</v>
      </c>
      <c r="E6" s="65" t="s">
        <v>13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324.0" customHeight="1">
      <c r="A7" s="179" t="s">
        <v>186</v>
      </c>
      <c r="B7" s="115" t="s">
        <v>187</v>
      </c>
      <c r="C7" s="180" t="s">
        <v>188</v>
      </c>
      <c r="D7" s="146" t="s">
        <v>83</v>
      </c>
      <c r="E7" s="156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81"/>
      <c r="B8" s="12"/>
      <c r="C8" s="12"/>
      <c r="D8" s="9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00"/>
      <c r="B9" s="12"/>
      <c r="C9" s="12"/>
      <c r="D9" s="9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00"/>
      <c r="B10" s="12"/>
      <c r="C10" s="12"/>
      <c r="D10" s="90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00"/>
      <c r="B11" s="12"/>
      <c r="C11" s="12"/>
      <c r="D11" s="9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00"/>
      <c r="B12" s="12"/>
      <c r="C12" s="12"/>
      <c r="D12" s="90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00"/>
      <c r="B13" s="12"/>
      <c r="C13" s="12"/>
      <c r="D13" s="9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00"/>
      <c r="B14" s="12"/>
      <c r="C14" s="12"/>
      <c r="D14" s="9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00"/>
      <c r="B15" s="12"/>
      <c r="C15" s="12"/>
      <c r="D15" s="9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00"/>
      <c r="B16" s="12"/>
      <c r="C16" s="12"/>
      <c r="D16" s="90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00"/>
      <c r="B17" s="12"/>
      <c r="C17" s="12"/>
      <c r="D17" s="9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00"/>
      <c r="B18" s="12"/>
      <c r="C18" s="12"/>
      <c r="D18" s="90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00"/>
      <c r="B19" s="12"/>
      <c r="C19" s="12"/>
      <c r="D19" s="9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00"/>
      <c r="B20" s="12"/>
      <c r="C20" s="12"/>
      <c r="D20" s="9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00"/>
      <c r="B21" s="12"/>
      <c r="C21" s="12"/>
      <c r="D21" s="9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00"/>
      <c r="B22" s="12"/>
      <c r="C22" s="12"/>
      <c r="D22" s="9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00"/>
      <c r="B23" s="12"/>
      <c r="C23" s="12"/>
      <c r="D23" s="9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00"/>
      <c r="B24" s="12"/>
      <c r="C24" s="12"/>
      <c r="D24" s="90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00"/>
      <c r="B25" s="12"/>
      <c r="C25" s="12"/>
      <c r="D25" s="9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00"/>
      <c r="B26" s="12"/>
      <c r="C26" s="12"/>
      <c r="D26" s="9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00"/>
      <c r="B27" s="12"/>
      <c r="C27" s="12"/>
      <c r="D27" s="9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00"/>
      <c r="B28" s="12"/>
      <c r="C28" s="12"/>
      <c r="D28" s="9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00"/>
      <c r="B29" s="12"/>
      <c r="C29" s="12"/>
      <c r="D29" s="9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00"/>
      <c r="B30" s="12"/>
      <c r="C30" s="12"/>
      <c r="D30" s="9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00"/>
      <c r="B31" s="12"/>
      <c r="C31" s="12"/>
      <c r="D31" s="9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00"/>
      <c r="B32" s="12"/>
      <c r="C32" s="12"/>
      <c r="D32" s="9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00"/>
      <c r="B33" s="12"/>
      <c r="C33" s="12"/>
      <c r="D33" s="9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00"/>
      <c r="B34" s="12"/>
      <c r="C34" s="12"/>
      <c r="D34" s="9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00"/>
      <c r="B35" s="12"/>
      <c r="C35" s="12"/>
      <c r="D35" s="9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00"/>
      <c r="B36" s="12"/>
      <c r="C36" s="12"/>
      <c r="D36" s="9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00"/>
      <c r="B37" s="12"/>
      <c r="C37" s="12"/>
      <c r="D37" s="9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00"/>
      <c r="B38" s="12"/>
      <c r="C38" s="12"/>
      <c r="D38" s="9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00"/>
      <c r="B39" s="12"/>
      <c r="C39" s="12"/>
      <c r="D39" s="9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00"/>
      <c r="B40" s="12"/>
      <c r="C40" s="12"/>
      <c r="D40" s="9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00"/>
      <c r="B41" s="12"/>
      <c r="C41" s="12"/>
      <c r="D41" s="9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00"/>
      <c r="B42" s="12"/>
      <c r="C42" s="12"/>
      <c r="D42" s="9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00"/>
      <c r="B43" s="12"/>
      <c r="C43" s="12"/>
      <c r="D43" s="9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00"/>
      <c r="B44" s="12"/>
      <c r="C44" s="12"/>
      <c r="D44" s="90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00"/>
      <c r="B45" s="12"/>
      <c r="C45" s="12"/>
      <c r="D45" s="9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00"/>
      <c r="B46" s="12"/>
      <c r="C46" s="12"/>
      <c r="D46" s="9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00"/>
      <c r="B47" s="12"/>
      <c r="C47" s="12"/>
      <c r="D47" s="9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00"/>
      <c r="B48" s="12"/>
      <c r="C48" s="12"/>
      <c r="D48" s="90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00"/>
      <c r="B49" s="12"/>
      <c r="C49" s="12"/>
      <c r="D49" s="9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00"/>
      <c r="B50" s="12"/>
      <c r="C50" s="12"/>
      <c r="D50" s="9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00"/>
      <c r="B51" s="12"/>
      <c r="C51" s="12"/>
      <c r="D51" s="9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00"/>
      <c r="B52" s="12"/>
      <c r="C52" s="12"/>
      <c r="D52" s="9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00"/>
      <c r="B53" s="12"/>
      <c r="C53" s="12"/>
      <c r="D53" s="9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00"/>
      <c r="B54" s="12"/>
      <c r="C54" s="12"/>
      <c r="D54" s="9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00"/>
      <c r="B55" s="12"/>
      <c r="C55" s="12"/>
      <c r="D55" s="9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00"/>
      <c r="B56" s="12"/>
      <c r="C56" s="12"/>
      <c r="D56" s="9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00"/>
      <c r="B57" s="12"/>
      <c r="C57" s="12"/>
      <c r="D57" s="9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00"/>
      <c r="B58" s="12"/>
      <c r="C58" s="12"/>
      <c r="D58" s="9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00"/>
      <c r="B59" s="12"/>
      <c r="C59" s="12"/>
      <c r="D59" s="90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00"/>
      <c r="B60" s="12"/>
      <c r="C60" s="12"/>
      <c r="D60" s="90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00"/>
      <c r="B61" s="12"/>
      <c r="C61" s="12"/>
      <c r="D61" s="90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00"/>
      <c r="B62" s="12"/>
      <c r="C62" s="12"/>
      <c r="D62" s="90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00"/>
      <c r="B63" s="12"/>
      <c r="C63" s="12"/>
      <c r="D63" s="90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00"/>
      <c r="B64" s="12"/>
      <c r="C64" s="12"/>
      <c r="D64" s="90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00"/>
      <c r="B65" s="12"/>
      <c r="C65" s="12"/>
      <c r="D65" s="90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00"/>
      <c r="B66" s="12"/>
      <c r="C66" s="12"/>
      <c r="D66" s="90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00"/>
      <c r="B67" s="12"/>
      <c r="C67" s="12"/>
      <c r="D67" s="90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00"/>
      <c r="B68" s="12"/>
      <c r="C68" s="12"/>
      <c r="D68" s="9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00"/>
      <c r="B69" s="12"/>
      <c r="C69" s="12"/>
      <c r="D69" s="9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00"/>
      <c r="B70" s="12"/>
      <c r="C70" s="12"/>
      <c r="D70" s="9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00"/>
      <c r="B71" s="12"/>
      <c r="C71" s="12"/>
      <c r="D71" s="9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00"/>
      <c r="B72" s="12"/>
      <c r="C72" s="12"/>
      <c r="D72" s="9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00"/>
      <c r="B73" s="12"/>
      <c r="C73" s="12"/>
      <c r="D73" s="9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00"/>
      <c r="B74" s="12"/>
      <c r="C74" s="12"/>
      <c r="D74" s="90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00"/>
      <c r="B75" s="12"/>
      <c r="C75" s="12"/>
      <c r="D75" s="90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00"/>
      <c r="B76" s="12"/>
      <c r="C76" s="12"/>
      <c r="D76" s="90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00"/>
      <c r="B77" s="12"/>
      <c r="C77" s="12"/>
      <c r="D77" s="90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00"/>
      <c r="B78" s="12"/>
      <c r="C78" s="12"/>
      <c r="D78" s="90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00"/>
      <c r="B79" s="12"/>
      <c r="C79" s="12"/>
      <c r="D79" s="90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00"/>
      <c r="B80" s="12"/>
      <c r="C80" s="12"/>
      <c r="D80" s="90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00"/>
      <c r="B81" s="12"/>
      <c r="C81" s="12"/>
      <c r="D81" s="90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00"/>
      <c r="B82" s="12"/>
      <c r="C82" s="12"/>
      <c r="D82" s="90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00"/>
      <c r="B83" s="12"/>
      <c r="C83" s="12"/>
      <c r="D83" s="90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00"/>
      <c r="B84" s="12"/>
      <c r="C84" s="12"/>
      <c r="D84" s="90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00"/>
      <c r="B85" s="12"/>
      <c r="C85" s="12"/>
      <c r="D85" s="90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00"/>
      <c r="B86" s="12"/>
      <c r="C86" s="12"/>
      <c r="D86" s="90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00"/>
      <c r="B87" s="12"/>
      <c r="C87" s="12"/>
      <c r="D87" s="90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00"/>
      <c r="B88" s="12"/>
      <c r="C88" s="12"/>
      <c r="D88" s="90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00"/>
      <c r="B89" s="12"/>
      <c r="C89" s="12"/>
      <c r="D89" s="90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00"/>
      <c r="B90" s="12"/>
      <c r="C90" s="12"/>
      <c r="D90" s="90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00"/>
      <c r="B91" s="12"/>
      <c r="C91" s="12"/>
      <c r="D91" s="90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00"/>
      <c r="B92" s="12"/>
      <c r="C92" s="12"/>
      <c r="D92" s="90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00"/>
      <c r="B93" s="12"/>
      <c r="C93" s="12"/>
      <c r="D93" s="90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00"/>
      <c r="B94" s="12"/>
      <c r="C94" s="12"/>
      <c r="D94" s="90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00"/>
      <c r="B95" s="12"/>
      <c r="C95" s="12"/>
      <c r="D95" s="90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00"/>
      <c r="B96" s="12"/>
      <c r="C96" s="12"/>
      <c r="D96" s="90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00"/>
      <c r="B97" s="12"/>
      <c r="C97" s="12"/>
      <c r="D97" s="90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00"/>
      <c r="B98" s="12"/>
      <c r="C98" s="12"/>
      <c r="D98" s="90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00"/>
      <c r="B99" s="12"/>
      <c r="C99" s="12"/>
      <c r="D99" s="90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00"/>
      <c r="B100" s="12"/>
      <c r="C100" s="12"/>
      <c r="D100" s="90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00"/>
      <c r="B101" s="12"/>
      <c r="C101" s="12"/>
      <c r="D101" s="90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00"/>
      <c r="B102" s="12"/>
      <c r="C102" s="12"/>
      <c r="D102" s="90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00"/>
      <c r="B103" s="12"/>
      <c r="C103" s="12"/>
      <c r="D103" s="90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00"/>
      <c r="B104" s="12"/>
      <c r="C104" s="12"/>
      <c r="D104" s="90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00"/>
      <c r="B105" s="12"/>
      <c r="C105" s="12"/>
      <c r="D105" s="90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00"/>
      <c r="B106" s="12"/>
      <c r="C106" s="12"/>
      <c r="D106" s="90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00"/>
      <c r="B107" s="12"/>
      <c r="C107" s="12"/>
      <c r="D107" s="90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00"/>
      <c r="B108" s="12"/>
      <c r="C108" s="12"/>
      <c r="D108" s="90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00"/>
      <c r="B109" s="12"/>
      <c r="C109" s="12"/>
      <c r="D109" s="90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00"/>
      <c r="B110" s="12"/>
      <c r="C110" s="12"/>
      <c r="D110" s="90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00"/>
      <c r="B111" s="12"/>
      <c r="C111" s="12"/>
      <c r="D111" s="90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00"/>
      <c r="B112" s="12"/>
      <c r="C112" s="12"/>
      <c r="D112" s="90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00"/>
      <c r="B113" s="12"/>
      <c r="C113" s="12"/>
      <c r="D113" s="90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00"/>
      <c r="B114" s="12"/>
      <c r="C114" s="12"/>
      <c r="D114" s="90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00"/>
      <c r="B115" s="12"/>
      <c r="C115" s="12"/>
      <c r="D115" s="90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00"/>
      <c r="B116" s="12"/>
      <c r="C116" s="12"/>
      <c r="D116" s="90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00"/>
      <c r="B117" s="12"/>
      <c r="C117" s="12"/>
      <c r="D117" s="90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00"/>
      <c r="B118" s="12"/>
      <c r="C118" s="12"/>
      <c r="D118" s="90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00"/>
      <c r="B119" s="12"/>
      <c r="C119" s="12"/>
      <c r="D119" s="90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00"/>
      <c r="B120" s="12"/>
      <c r="C120" s="12"/>
      <c r="D120" s="90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00"/>
      <c r="B121" s="12"/>
      <c r="C121" s="12"/>
      <c r="D121" s="90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00"/>
      <c r="B122" s="12"/>
      <c r="C122" s="12"/>
      <c r="D122" s="90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00"/>
      <c r="B123" s="12"/>
      <c r="C123" s="12"/>
      <c r="D123" s="90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00"/>
      <c r="B124" s="12"/>
      <c r="C124" s="12"/>
      <c r="D124" s="90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00"/>
      <c r="B125" s="12"/>
      <c r="C125" s="12"/>
      <c r="D125" s="90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00"/>
      <c r="B126" s="12"/>
      <c r="C126" s="12"/>
      <c r="D126" s="90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00"/>
      <c r="B127" s="12"/>
      <c r="C127" s="12"/>
      <c r="D127" s="90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00"/>
      <c r="B128" s="12"/>
      <c r="C128" s="12"/>
      <c r="D128" s="90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00"/>
      <c r="B129" s="12"/>
      <c r="C129" s="12"/>
      <c r="D129" s="90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00"/>
      <c r="B130" s="12"/>
      <c r="C130" s="12"/>
      <c r="D130" s="90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00"/>
      <c r="B131" s="12"/>
      <c r="C131" s="12"/>
      <c r="D131" s="90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00"/>
      <c r="B132" s="12"/>
      <c r="C132" s="12"/>
      <c r="D132" s="90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00"/>
      <c r="B133" s="12"/>
      <c r="C133" s="12"/>
      <c r="D133" s="90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00"/>
      <c r="B134" s="12"/>
      <c r="C134" s="12"/>
      <c r="D134" s="90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00"/>
      <c r="B135" s="12"/>
      <c r="C135" s="12"/>
      <c r="D135" s="9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00"/>
      <c r="B136" s="12"/>
      <c r="C136" s="12"/>
      <c r="D136" s="9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00"/>
      <c r="B137" s="12"/>
      <c r="C137" s="12"/>
      <c r="D137" s="9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00"/>
      <c r="B138" s="12"/>
      <c r="C138" s="12"/>
      <c r="D138" s="9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00"/>
      <c r="B139" s="12"/>
      <c r="C139" s="12"/>
      <c r="D139" s="9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00"/>
      <c r="B140" s="12"/>
      <c r="C140" s="12"/>
      <c r="D140" s="9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00"/>
      <c r="B141" s="12"/>
      <c r="C141" s="12"/>
      <c r="D141" s="9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00"/>
      <c r="B142" s="12"/>
      <c r="C142" s="12"/>
      <c r="D142" s="9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00"/>
      <c r="B143" s="12"/>
      <c r="C143" s="12"/>
      <c r="D143" s="9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00"/>
      <c r="B144" s="12"/>
      <c r="C144" s="12"/>
      <c r="D144" s="9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00"/>
      <c r="B145" s="12"/>
      <c r="C145" s="12"/>
      <c r="D145" s="9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00"/>
      <c r="B146" s="12"/>
      <c r="C146" s="12"/>
      <c r="D146" s="9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00"/>
      <c r="B147" s="12"/>
      <c r="C147" s="12"/>
      <c r="D147" s="9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00"/>
      <c r="B148" s="12"/>
      <c r="C148" s="12"/>
      <c r="D148" s="9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00"/>
      <c r="B149" s="12"/>
      <c r="C149" s="12"/>
      <c r="D149" s="9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00"/>
      <c r="B150" s="12"/>
      <c r="C150" s="12"/>
      <c r="D150" s="9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00"/>
      <c r="B151" s="12"/>
      <c r="C151" s="12"/>
      <c r="D151" s="90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00"/>
      <c r="B152" s="12"/>
      <c r="C152" s="12"/>
      <c r="D152" s="9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00"/>
      <c r="B153" s="12"/>
      <c r="C153" s="12"/>
      <c r="D153" s="9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00"/>
      <c r="B154" s="12"/>
      <c r="C154" s="12"/>
      <c r="D154" s="9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00"/>
      <c r="B155" s="12"/>
      <c r="C155" s="12"/>
      <c r="D155" s="9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00"/>
      <c r="B156" s="12"/>
      <c r="C156" s="12"/>
      <c r="D156" s="9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00"/>
      <c r="B157" s="12"/>
      <c r="C157" s="12"/>
      <c r="D157" s="9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00"/>
      <c r="B158" s="12"/>
      <c r="C158" s="12"/>
      <c r="D158" s="9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00"/>
      <c r="B159" s="12"/>
      <c r="C159" s="12"/>
      <c r="D159" s="9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00"/>
      <c r="B160" s="12"/>
      <c r="C160" s="12"/>
      <c r="D160" s="9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00"/>
      <c r="B161" s="12"/>
      <c r="C161" s="12"/>
      <c r="D161" s="90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00"/>
      <c r="B162" s="12"/>
      <c r="C162" s="12"/>
      <c r="D162" s="9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00"/>
      <c r="B163" s="12"/>
      <c r="C163" s="12"/>
      <c r="D163" s="9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00"/>
      <c r="B164" s="12"/>
      <c r="C164" s="12"/>
      <c r="D164" s="9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00"/>
      <c r="B165" s="12"/>
      <c r="C165" s="12"/>
      <c r="D165" s="9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00"/>
      <c r="B166" s="12"/>
      <c r="C166" s="12"/>
      <c r="D166" s="9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00"/>
      <c r="B167" s="12"/>
      <c r="C167" s="12"/>
      <c r="D167" s="9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00"/>
      <c r="B168" s="12"/>
      <c r="C168" s="12"/>
      <c r="D168" s="9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00"/>
      <c r="B169" s="12"/>
      <c r="C169" s="12"/>
      <c r="D169" s="9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00"/>
      <c r="B170" s="12"/>
      <c r="C170" s="12"/>
      <c r="D170" s="9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00"/>
      <c r="B171" s="12"/>
      <c r="C171" s="12"/>
      <c r="D171" s="9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00"/>
      <c r="B172" s="12"/>
      <c r="C172" s="12"/>
      <c r="D172" s="9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00"/>
      <c r="B173" s="12"/>
      <c r="C173" s="12"/>
      <c r="D173" s="9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00"/>
      <c r="B174" s="12"/>
      <c r="C174" s="12"/>
      <c r="D174" s="9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00"/>
      <c r="B175" s="12"/>
      <c r="C175" s="12"/>
      <c r="D175" s="9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00"/>
      <c r="B176" s="12"/>
      <c r="C176" s="12"/>
      <c r="D176" s="9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00"/>
      <c r="B177" s="12"/>
      <c r="C177" s="12"/>
      <c r="D177" s="9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00"/>
      <c r="B178" s="12"/>
      <c r="C178" s="12"/>
      <c r="D178" s="9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00"/>
      <c r="B179" s="12"/>
      <c r="C179" s="12"/>
      <c r="D179" s="9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00"/>
      <c r="B180" s="12"/>
      <c r="C180" s="12"/>
      <c r="D180" s="9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00"/>
      <c r="B181" s="12"/>
      <c r="C181" s="12"/>
      <c r="D181" s="9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00"/>
      <c r="B182" s="12"/>
      <c r="C182" s="12"/>
      <c r="D182" s="9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00"/>
      <c r="B183" s="12"/>
      <c r="C183" s="12"/>
      <c r="D183" s="9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00"/>
      <c r="B184" s="12"/>
      <c r="C184" s="12"/>
      <c r="D184" s="9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00"/>
      <c r="B185" s="12"/>
      <c r="C185" s="12"/>
      <c r="D185" s="9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00"/>
      <c r="B186" s="12"/>
      <c r="C186" s="12"/>
      <c r="D186" s="90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00"/>
      <c r="B187" s="12"/>
      <c r="C187" s="12"/>
      <c r="D187" s="9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00"/>
      <c r="B188" s="12"/>
      <c r="C188" s="12"/>
      <c r="D188" s="9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00"/>
      <c r="B189" s="12"/>
      <c r="C189" s="12"/>
      <c r="D189" s="9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00"/>
      <c r="B190" s="12"/>
      <c r="C190" s="12"/>
      <c r="D190" s="9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00"/>
      <c r="B191" s="12"/>
      <c r="C191" s="12"/>
      <c r="D191" s="9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00"/>
      <c r="B192" s="12"/>
      <c r="C192" s="12"/>
      <c r="D192" s="9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00"/>
      <c r="B193" s="12"/>
      <c r="C193" s="12"/>
      <c r="D193" s="9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00"/>
      <c r="B194" s="12"/>
      <c r="C194" s="12"/>
      <c r="D194" s="9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00"/>
      <c r="B195" s="12"/>
      <c r="C195" s="12"/>
      <c r="D195" s="9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00"/>
      <c r="B196" s="12"/>
      <c r="C196" s="12"/>
      <c r="D196" s="9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00"/>
      <c r="B197" s="12"/>
      <c r="C197" s="12"/>
      <c r="D197" s="9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00"/>
      <c r="B198" s="12"/>
      <c r="C198" s="12"/>
      <c r="D198" s="9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00"/>
      <c r="B199" s="12"/>
      <c r="C199" s="12"/>
      <c r="D199" s="9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00"/>
      <c r="B200" s="12"/>
      <c r="C200" s="12"/>
      <c r="D200" s="9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00"/>
      <c r="B201" s="12"/>
      <c r="C201" s="12"/>
      <c r="D201" s="9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00"/>
      <c r="B202" s="12"/>
      <c r="C202" s="12"/>
      <c r="D202" s="9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00"/>
      <c r="B203" s="12"/>
      <c r="C203" s="12"/>
      <c r="D203" s="9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00"/>
      <c r="B204" s="12"/>
      <c r="C204" s="12"/>
      <c r="D204" s="9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00"/>
      <c r="B205" s="12"/>
      <c r="C205" s="12"/>
      <c r="D205" s="9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00"/>
      <c r="B206" s="12"/>
      <c r="C206" s="12"/>
      <c r="D206" s="9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00"/>
      <c r="B207" s="12"/>
      <c r="C207" s="12"/>
      <c r="D207" s="9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00"/>
      <c r="B208" s="12"/>
      <c r="C208" s="12"/>
      <c r="D208" s="9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00"/>
      <c r="B209" s="12"/>
      <c r="C209" s="12"/>
      <c r="D209" s="9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00"/>
      <c r="B210" s="12"/>
      <c r="C210" s="12"/>
      <c r="D210" s="9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00"/>
      <c r="B211" s="12"/>
      <c r="C211" s="12"/>
      <c r="D211" s="90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00"/>
      <c r="B212" s="12"/>
      <c r="C212" s="12"/>
      <c r="D212" s="90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00"/>
      <c r="B213" s="12"/>
      <c r="C213" s="12"/>
      <c r="D213" s="90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00"/>
      <c r="B214" s="12"/>
      <c r="C214" s="12"/>
      <c r="D214" s="9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00"/>
      <c r="B215" s="12"/>
      <c r="C215" s="12"/>
      <c r="D215" s="9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00"/>
      <c r="B216" s="12"/>
      <c r="C216" s="12"/>
      <c r="D216" s="9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00"/>
      <c r="B217" s="12"/>
      <c r="C217" s="12"/>
      <c r="D217" s="9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00"/>
      <c r="B218" s="12"/>
      <c r="C218" s="12"/>
      <c r="D218" s="9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00"/>
      <c r="B219" s="12"/>
      <c r="C219" s="12"/>
      <c r="D219" s="9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00"/>
      <c r="B220" s="12"/>
      <c r="C220" s="12"/>
      <c r="D220" s="9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00"/>
      <c r="B221" s="12"/>
      <c r="C221" s="12"/>
      <c r="D221" s="90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00"/>
      <c r="B222" s="12"/>
      <c r="C222" s="12"/>
      <c r="D222" s="90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00"/>
      <c r="B223" s="12"/>
      <c r="C223" s="12"/>
      <c r="D223" s="90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00"/>
      <c r="B224" s="12"/>
      <c r="C224" s="12"/>
      <c r="D224" s="90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00"/>
      <c r="B225" s="12"/>
      <c r="C225" s="12"/>
      <c r="D225" s="90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00"/>
      <c r="B226" s="12"/>
      <c r="C226" s="12"/>
      <c r="D226" s="90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00"/>
      <c r="B227" s="12"/>
      <c r="C227" s="12"/>
      <c r="D227" s="90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00"/>
      <c r="B228" s="12"/>
      <c r="C228" s="12"/>
      <c r="D228" s="9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00"/>
      <c r="B229" s="12"/>
      <c r="C229" s="12"/>
      <c r="D229" s="90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00"/>
      <c r="B230" s="12"/>
      <c r="C230" s="12"/>
      <c r="D230" s="90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00"/>
      <c r="B231" s="12"/>
      <c r="C231" s="12"/>
      <c r="D231" s="90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00"/>
      <c r="B232" s="12"/>
      <c r="C232" s="12"/>
      <c r="D232" s="90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00"/>
      <c r="B233" s="12"/>
      <c r="C233" s="12"/>
      <c r="D233" s="90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00"/>
      <c r="B234" s="12"/>
      <c r="C234" s="12"/>
      <c r="D234" s="90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00"/>
      <c r="B235" s="12"/>
      <c r="C235" s="12"/>
      <c r="D235" s="90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00"/>
      <c r="B236" s="12"/>
      <c r="C236" s="12"/>
      <c r="D236" s="90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00"/>
      <c r="B237" s="12"/>
      <c r="C237" s="12"/>
      <c r="D237" s="90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00"/>
      <c r="B238" s="12"/>
      <c r="C238" s="12"/>
      <c r="D238" s="90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00"/>
      <c r="B239" s="12"/>
      <c r="C239" s="12"/>
      <c r="D239" s="90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00"/>
      <c r="B240" s="12"/>
      <c r="C240" s="12"/>
      <c r="D240" s="90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00"/>
      <c r="B241" s="12"/>
      <c r="C241" s="12"/>
      <c r="D241" s="90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00"/>
      <c r="B242" s="12"/>
      <c r="C242" s="12"/>
      <c r="D242" s="90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00"/>
      <c r="B243" s="12"/>
      <c r="C243" s="12"/>
      <c r="D243" s="90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00"/>
      <c r="B244" s="12"/>
      <c r="C244" s="12"/>
      <c r="D244" s="90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00"/>
      <c r="B245" s="12"/>
      <c r="C245" s="12"/>
      <c r="D245" s="90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00"/>
      <c r="B246" s="12"/>
      <c r="C246" s="12"/>
      <c r="D246" s="90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00"/>
      <c r="B247" s="12"/>
      <c r="C247" s="12"/>
      <c r="D247" s="90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00"/>
      <c r="B248" s="12"/>
      <c r="C248" s="12"/>
      <c r="D248" s="90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00"/>
      <c r="B249" s="12"/>
      <c r="C249" s="12"/>
      <c r="D249" s="90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00"/>
      <c r="B250" s="12"/>
      <c r="C250" s="12"/>
      <c r="D250" s="90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00"/>
      <c r="B251" s="12"/>
      <c r="C251" s="12"/>
      <c r="D251" s="90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00"/>
      <c r="B252" s="12"/>
      <c r="C252" s="12"/>
      <c r="D252" s="90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00"/>
      <c r="B253" s="12"/>
      <c r="C253" s="12"/>
      <c r="D253" s="90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00"/>
      <c r="B254" s="12"/>
      <c r="C254" s="12"/>
      <c r="D254" s="90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00"/>
      <c r="B255" s="12"/>
      <c r="C255" s="12"/>
      <c r="D255" s="90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00"/>
      <c r="B256" s="12"/>
      <c r="C256" s="12"/>
      <c r="D256" s="9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00"/>
      <c r="B257" s="12"/>
      <c r="C257" s="12"/>
      <c r="D257" s="9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00"/>
      <c r="B258" s="12"/>
      <c r="C258" s="12"/>
      <c r="D258" s="90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00"/>
      <c r="B259" s="12"/>
      <c r="C259" s="12"/>
      <c r="D259" s="90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00"/>
      <c r="B260" s="12"/>
      <c r="C260" s="12"/>
      <c r="D260" s="90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00"/>
      <c r="B261" s="12"/>
      <c r="C261" s="12"/>
      <c r="D261" s="90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00"/>
      <c r="B262" s="12"/>
      <c r="C262" s="12"/>
      <c r="D262" s="90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00"/>
      <c r="B263" s="12"/>
      <c r="C263" s="12"/>
      <c r="D263" s="90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00"/>
      <c r="B264" s="12"/>
      <c r="C264" s="12"/>
      <c r="D264" s="90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00"/>
      <c r="B265" s="12"/>
      <c r="C265" s="12"/>
      <c r="D265" s="90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00"/>
      <c r="B266" s="12"/>
      <c r="C266" s="12"/>
      <c r="D266" s="90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00"/>
      <c r="B267" s="12"/>
      <c r="C267" s="12"/>
      <c r="D267" s="90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00"/>
      <c r="B268" s="12"/>
      <c r="C268" s="12"/>
      <c r="D268" s="90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00"/>
      <c r="B269" s="12"/>
      <c r="C269" s="12"/>
      <c r="D269" s="90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00"/>
      <c r="B270" s="12"/>
      <c r="C270" s="12"/>
      <c r="D270" s="90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00"/>
      <c r="B271" s="12"/>
      <c r="C271" s="12"/>
      <c r="D271" s="90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00"/>
      <c r="B272" s="12"/>
      <c r="C272" s="12"/>
      <c r="D272" s="90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00"/>
      <c r="B273" s="12"/>
      <c r="C273" s="12"/>
      <c r="D273" s="90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00"/>
      <c r="B274" s="12"/>
      <c r="C274" s="12"/>
      <c r="D274" s="90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00"/>
      <c r="B275" s="12"/>
      <c r="C275" s="12"/>
      <c r="D275" s="90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00"/>
      <c r="B276" s="12"/>
      <c r="C276" s="12"/>
      <c r="D276" s="90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00"/>
      <c r="B277" s="12"/>
      <c r="C277" s="12"/>
      <c r="D277" s="90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00"/>
      <c r="B278" s="12"/>
      <c r="C278" s="12"/>
      <c r="D278" s="90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00"/>
      <c r="B279" s="12"/>
      <c r="C279" s="12"/>
      <c r="D279" s="90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00"/>
      <c r="B280" s="12"/>
      <c r="C280" s="12"/>
      <c r="D280" s="90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00"/>
      <c r="B281" s="12"/>
      <c r="C281" s="12"/>
      <c r="D281" s="90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00"/>
      <c r="B282" s="12"/>
      <c r="C282" s="12"/>
      <c r="D282" s="90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00"/>
      <c r="B283" s="12"/>
      <c r="C283" s="12"/>
      <c r="D283" s="90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00"/>
      <c r="B284" s="12"/>
      <c r="C284" s="12"/>
      <c r="D284" s="90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00"/>
      <c r="B285" s="12"/>
      <c r="C285" s="12"/>
      <c r="D285" s="90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00"/>
      <c r="B286" s="12"/>
      <c r="C286" s="12"/>
      <c r="D286" s="90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00"/>
      <c r="B287" s="12"/>
      <c r="C287" s="12"/>
      <c r="D287" s="90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00"/>
      <c r="B288" s="12"/>
      <c r="C288" s="12"/>
      <c r="D288" s="90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00"/>
      <c r="B289" s="12"/>
      <c r="C289" s="12"/>
      <c r="D289" s="90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00"/>
      <c r="B290" s="12"/>
      <c r="C290" s="12"/>
      <c r="D290" s="90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00"/>
      <c r="B291" s="12"/>
      <c r="C291" s="12"/>
      <c r="D291" s="90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00"/>
      <c r="B292" s="12"/>
      <c r="C292" s="12"/>
      <c r="D292" s="90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00"/>
      <c r="B293" s="12"/>
      <c r="C293" s="12"/>
      <c r="D293" s="90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00"/>
      <c r="B294" s="12"/>
      <c r="C294" s="12"/>
      <c r="D294" s="90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00"/>
      <c r="B295" s="12"/>
      <c r="C295" s="12"/>
      <c r="D295" s="90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00"/>
      <c r="B296" s="12"/>
      <c r="C296" s="12"/>
      <c r="D296" s="90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00"/>
      <c r="B297" s="12"/>
      <c r="C297" s="12"/>
      <c r="D297" s="90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00"/>
      <c r="B298" s="12"/>
      <c r="C298" s="12"/>
      <c r="D298" s="90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00"/>
      <c r="B299" s="12"/>
      <c r="C299" s="12"/>
      <c r="D299" s="90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00"/>
      <c r="B300" s="12"/>
      <c r="C300" s="12"/>
      <c r="D300" s="90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00"/>
      <c r="B301" s="12"/>
      <c r="C301" s="12"/>
      <c r="D301" s="90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00"/>
      <c r="B302" s="12"/>
      <c r="C302" s="12"/>
      <c r="D302" s="90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00"/>
      <c r="B303" s="12"/>
      <c r="C303" s="12"/>
      <c r="D303" s="90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00"/>
      <c r="B304" s="12"/>
      <c r="C304" s="12"/>
      <c r="D304" s="90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00"/>
      <c r="B305" s="12"/>
      <c r="C305" s="12"/>
      <c r="D305" s="90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00"/>
      <c r="B306" s="12"/>
      <c r="C306" s="12"/>
      <c r="D306" s="90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00"/>
      <c r="B307" s="12"/>
      <c r="C307" s="12"/>
      <c r="D307" s="90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00"/>
      <c r="B308" s="12"/>
      <c r="C308" s="12"/>
      <c r="D308" s="90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00"/>
      <c r="B309" s="12"/>
      <c r="C309" s="12"/>
      <c r="D309" s="90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00"/>
      <c r="B310" s="12"/>
      <c r="C310" s="12"/>
      <c r="D310" s="90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00"/>
      <c r="B311" s="12"/>
      <c r="C311" s="12"/>
      <c r="D311" s="90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00"/>
      <c r="B312" s="12"/>
      <c r="C312" s="12"/>
      <c r="D312" s="90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00"/>
      <c r="B313" s="12"/>
      <c r="C313" s="12"/>
      <c r="D313" s="90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00"/>
      <c r="B314" s="12"/>
      <c r="C314" s="12"/>
      <c r="D314" s="90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00"/>
      <c r="B315" s="12"/>
      <c r="C315" s="12"/>
      <c r="D315" s="90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00"/>
      <c r="B316" s="12"/>
      <c r="C316" s="12"/>
      <c r="D316" s="90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00"/>
      <c r="B317" s="12"/>
      <c r="C317" s="12"/>
      <c r="D317" s="90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00"/>
      <c r="B318" s="12"/>
      <c r="C318" s="12"/>
      <c r="D318" s="90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00"/>
      <c r="B319" s="12"/>
      <c r="C319" s="12"/>
      <c r="D319" s="90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00"/>
      <c r="B320" s="12"/>
      <c r="C320" s="12"/>
      <c r="D320" s="90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00"/>
      <c r="B321" s="12"/>
      <c r="C321" s="12"/>
      <c r="D321" s="90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00"/>
      <c r="B322" s="12"/>
      <c r="C322" s="12"/>
      <c r="D322" s="90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00"/>
      <c r="B323" s="12"/>
      <c r="C323" s="12"/>
      <c r="D323" s="90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00"/>
      <c r="B324" s="12"/>
      <c r="C324" s="12"/>
      <c r="D324" s="90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00"/>
      <c r="B325" s="12"/>
      <c r="C325" s="12"/>
      <c r="D325" s="90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00"/>
      <c r="B326" s="12"/>
      <c r="C326" s="12"/>
      <c r="D326" s="90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00"/>
      <c r="B327" s="12"/>
      <c r="C327" s="12"/>
      <c r="D327" s="90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00"/>
      <c r="B328" s="12"/>
      <c r="C328" s="12"/>
      <c r="D328" s="90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00"/>
      <c r="B329" s="12"/>
      <c r="C329" s="12"/>
      <c r="D329" s="90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00"/>
      <c r="B330" s="12"/>
      <c r="C330" s="12"/>
      <c r="D330" s="90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00"/>
      <c r="B331" s="12"/>
      <c r="C331" s="12"/>
      <c r="D331" s="90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00"/>
      <c r="B332" s="12"/>
      <c r="C332" s="12"/>
      <c r="D332" s="90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00"/>
      <c r="B333" s="12"/>
      <c r="C333" s="12"/>
      <c r="D333" s="90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00"/>
      <c r="B334" s="12"/>
      <c r="C334" s="12"/>
      <c r="D334" s="90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00"/>
      <c r="B335" s="12"/>
      <c r="C335" s="12"/>
      <c r="D335" s="90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00"/>
      <c r="B336" s="12"/>
      <c r="C336" s="12"/>
      <c r="D336" s="90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00"/>
      <c r="B337" s="12"/>
      <c r="C337" s="12"/>
      <c r="D337" s="90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00"/>
      <c r="B338" s="12"/>
      <c r="C338" s="12"/>
      <c r="D338" s="90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00"/>
      <c r="B339" s="12"/>
      <c r="C339" s="12"/>
      <c r="D339" s="90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00"/>
      <c r="B340" s="12"/>
      <c r="C340" s="12"/>
      <c r="D340" s="90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00"/>
      <c r="B341" s="12"/>
      <c r="C341" s="12"/>
      <c r="D341" s="90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00"/>
      <c r="B342" s="12"/>
      <c r="C342" s="12"/>
      <c r="D342" s="90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00"/>
      <c r="B343" s="12"/>
      <c r="C343" s="12"/>
      <c r="D343" s="90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00"/>
      <c r="B344" s="12"/>
      <c r="C344" s="12"/>
      <c r="D344" s="90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00"/>
      <c r="B345" s="12"/>
      <c r="C345" s="12"/>
      <c r="D345" s="90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00"/>
      <c r="B346" s="12"/>
      <c r="C346" s="12"/>
      <c r="D346" s="90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00"/>
      <c r="B347" s="12"/>
      <c r="C347" s="12"/>
      <c r="D347" s="90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00"/>
      <c r="B348" s="12"/>
      <c r="C348" s="12"/>
      <c r="D348" s="90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00"/>
      <c r="B349" s="12"/>
      <c r="C349" s="12"/>
      <c r="D349" s="90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00"/>
      <c r="B350" s="12"/>
      <c r="C350" s="12"/>
      <c r="D350" s="90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00"/>
      <c r="B351" s="12"/>
      <c r="C351" s="12"/>
      <c r="D351" s="90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00"/>
      <c r="B352" s="12"/>
      <c r="C352" s="12"/>
      <c r="D352" s="90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00"/>
      <c r="B353" s="12"/>
      <c r="C353" s="12"/>
      <c r="D353" s="90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00"/>
      <c r="B354" s="12"/>
      <c r="C354" s="12"/>
      <c r="D354" s="90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00"/>
      <c r="B355" s="12"/>
      <c r="C355" s="12"/>
      <c r="D355" s="90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00"/>
      <c r="B356" s="12"/>
      <c r="C356" s="12"/>
      <c r="D356" s="90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00"/>
      <c r="B357" s="12"/>
      <c r="C357" s="12"/>
      <c r="D357" s="90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00"/>
      <c r="B358" s="12"/>
      <c r="C358" s="12"/>
      <c r="D358" s="90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00"/>
      <c r="B359" s="12"/>
      <c r="C359" s="12"/>
      <c r="D359" s="90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00"/>
      <c r="B360" s="12"/>
      <c r="C360" s="12"/>
      <c r="D360" s="90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00"/>
      <c r="B361" s="12"/>
      <c r="C361" s="12"/>
      <c r="D361" s="90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00"/>
      <c r="B362" s="12"/>
      <c r="C362" s="12"/>
      <c r="D362" s="90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00"/>
      <c r="B363" s="12"/>
      <c r="C363" s="12"/>
      <c r="D363" s="90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00"/>
      <c r="B364" s="12"/>
      <c r="C364" s="12"/>
      <c r="D364" s="90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00"/>
      <c r="B365" s="12"/>
      <c r="C365" s="12"/>
      <c r="D365" s="90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00"/>
      <c r="B366" s="12"/>
      <c r="C366" s="12"/>
      <c r="D366" s="90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00"/>
      <c r="B367" s="12"/>
      <c r="C367" s="12"/>
      <c r="D367" s="90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00"/>
      <c r="B368" s="12"/>
      <c r="C368" s="12"/>
      <c r="D368" s="90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00"/>
      <c r="B369" s="12"/>
      <c r="C369" s="12"/>
      <c r="D369" s="90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00"/>
      <c r="B370" s="12"/>
      <c r="C370" s="12"/>
      <c r="D370" s="90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00"/>
      <c r="B371" s="12"/>
      <c r="C371" s="12"/>
      <c r="D371" s="90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00"/>
      <c r="B372" s="12"/>
      <c r="C372" s="12"/>
      <c r="D372" s="90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00"/>
      <c r="B373" s="12"/>
      <c r="C373" s="12"/>
      <c r="D373" s="90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00"/>
      <c r="B374" s="12"/>
      <c r="C374" s="12"/>
      <c r="D374" s="90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00"/>
      <c r="B375" s="12"/>
      <c r="C375" s="12"/>
      <c r="D375" s="90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00"/>
      <c r="B376" s="12"/>
      <c r="C376" s="12"/>
      <c r="D376" s="90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00"/>
      <c r="B377" s="12"/>
      <c r="C377" s="12"/>
      <c r="D377" s="90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00"/>
      <c r="B378" s="12"/>
      <c r="C378" s="12"/>
      <c r="D378" s="90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00"/>
      <c r="B379" s="12"/>
      <c r="C379" s="12"/>
      <c r="D379" s="90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00"/>
      <c r="B380" s="12"/>
      <c r="C380" s="12"/>
      <c r="D380" s="90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00"/>
      <c r="B381" s="12"/>
      <c r="C381" s="12"/>
      <c r="D381" s="90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00"/>
      <c r="B382" s="12"/>
      <c r="C382" s="12"/>
      <c r="D382" s="90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00"/>
      <c r="B383" s="12"/>
      <c r="C383" s="12"/>
      <c r="D383" s="90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00"/>
      <c r="B384" s="12"/>
      <c r="C384" s="12"/>
      <c r="D384" s="90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00"/>
      <c r="B385" s="12"/>
      <c r="C385" s="12"/>
      <c r="D385" s="90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00"/>
      <c r="B386" s="12"/>
      <c r="C386" s="12"/>
      <c r="D386" s="90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00"/>
      <c r="B387" s="12"/>
      <c r="C387" s="12"/>
      <c r="D387" s="90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00"/>
      <c r="B388" s="12"/>
      <c r="C388" s="12"/>
      <c r="D388" s="90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00"/>
      <c r="B389" s="12"/>
      <c r="C389" s="12"/>
      <c r="D389" s="90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00"/>
      <c r="B390" s="12"/>
      <c r="C390" s="12"/>
      <c r="D390" s="90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00"/>
      <c r="B391" s="12"/>
      <c r="C391" s="12"/>
      <c r="D391" s="90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00"/>
      <c r="B392" s="12"/>
      <c r="C392" s="12"/>
      <c r="D392" s="90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00"/>
      <c r="B393" s="12"/>
      <c r="C393" s="12"/>
      <c r="D393" s="90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00"/>
      <c r="B394" s="12"/>
      <c r="C394" s="12"/>
      <c r="D394" s="90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00"/>
      <c r="B395" s="12"/>
      <c r="C395" s="12"/>
      <c r="D395" s="90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00"/>
      <c r="B396" s="12"/>
      <c r="C396" s="12"/>
      <c r="D396" s="90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00"/>
      <c r="B397" s="12"/>
      <c r="C397" s="12"/>
      <c r="D397" s="90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00"/>
      <c r="B398" s="12"/>
      <c r="C398" s="12"/>
      <c r="D398" s="90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00"/>
      <c r="B399" s="12"/>
      <c r="C399" s="12"/>
      <c r="D399" s="90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00"/>
      <c r="B400" s="12"/>
      <c r="C400" s="12"/>
      <c r="D400" s="90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00"/>
      <c r="B401" s="12"/>
      <c r="C401" s="12"/>
      <c r="D401" s="90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00"/>
      <c r="B402" s="12"/>
      <c r="C402" s="12"/>
      <c r="D402" s="90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00"/>
      <c r="B403" s="12"/>
      <c r="C403" s="12"/>
      <c r="D403" s="90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00"/>
      <c r="B404" s="12"/>
      <c r="C404" s="12"/>
      <c r="D404" s="90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00"/>
      <c r="B405" s="12"/>
      <c r="C405" s="12"/>
      <c r="D405" s="90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00"/>
      <c r="B406" s="12"/>
      <c r="C406" s="12"/>
      <c r="D406" s="90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00"/>
      <c r="B407" s="12"/>
      <c r="C407" s="12"/>
      <c r="D407" s="90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00"/>
      <c r="B408" s="12"/>
      <c r="C408" s="12"/>
      <c r="D408" s="90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00"/>
      <c r="B409" s="12"/>
      <c r="C409" s="12"/>
      <c r="D409" s="90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00"/>
      <c r="B410" s="12"/>
      <c r="C410" s="12"/>
      <c r="D410" s="90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00"/>
      <c r="B411" s="12"/>
      <c r="C411" s="12"/>
      <c r="D411" s="90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00"/>
      <c r="B412" s="12"/>
      <c r="C412" s="12"/>
      <c r="D412" s="90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00"/>
      <c r="B413" s="12"/>
      <c r="C413" s="12"/>
      <c r="D413" s="90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00"/>
      <c r="B414" s="12"/>
      <c r="C414" s="12"/>
      <c r="D414" s="90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00"/>
      <c r="B415" s="12"/>
      <c r="C415" s="12"/>
      <c r="D415" s="90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00"/>
      <c r="B416" s="12"/>
      <c r="C416" s="12"/>
      <c r="D416" s="90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00"/>
      <c r="B417" s="12"/>
      <c r="C417" s="12"/>
      <c r="D417" s="90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00"/>
      <c r="B418" s="12"/>
      <c r="C418" s="12"/>
      <c r="D418" s="90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00"/>
      <c r="B419" s="12"/>
      <c r="C419" s="12"/>
      <c r="D419" s="90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00"/>
      <c r="B420" s="12"/>
      <c r="C420" s="12"/>
      <c r="D420" s="90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00"/>
      <c r="B421" s="12"/>
      <c r="C421" s="12"/>
      <c r="D421" s="90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00"/>
      <c r="B422" s="12"/>
      <c r="C422" s="12"/>
      <c r="D422" s="90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00"/>
      <c r="B423" s="12"/>
      <c r="C423" s="12"/>
      <c r="D423" s="90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00"/>
      <c r="B424" s="12"/>
      <c r="C424" s="12"/>
      <c r="D424" s="90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00"/>
      <c r="B425" s="12"/>
      <c r="C425" s="12"/>
      <c r="D425" s="90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00"/>
      <c r="B426" s="12"/>
      <c r="C426" s="12"/>
      <c r="D426" s="90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00"/>
      <c r="B427" s="12"/>
      <c r="C427" s="12"/>
      <c r="D427" s="90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00"/>
      <c r="B428" s="12"/>
      <c r="C428" s="12"/>
      <c r="D428" s="90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00"/>
      <c r="B429" s="12"/>
      <c r="C429" s="12"/>
      <c r="D429" s="90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00"/>
      <c r="B430" s="12"/>
      <c r="C430" s="12"/>
      <c r="D430" s="90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00"/>
      <c r="B431" s="12"/>
      <c r="C431" s="12"/>
      <c r="D431" s="90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00"/>
      <c r="B432" s="12"/>
      <c r="C432" s="12"/>
      <c r="D432" s="90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00"/>
      <c r="B433" s="12"/>
      <c r="C433" s="12"/>
      <c r="D433" s="90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00"/>
      <c r="B434" s="12"/>
      <c r="C434" s="12"/>
      <c r="D434" s="90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00"/>
      <c r="B435" s="12"/>
      <c r="C435" s="12"/>
      <c r="D435" s="90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00"/>
      <c r="B436" s="12"/>
      <c r="C436" s="12"/>
      <c r="D436" s="90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00"/>
      <c r="B437" s="12"/>
      <c r="C437" s="12"/>
      <c r="D437" s="90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00"/>
      <c r="B438" s="12"/>
      <c r="C438" s="12"/>
      <c r="D438" s="90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00"/>
      <c r="B439" s="12"/>
      <c r="C439" s="12"/>
      <c r="D439" s="90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00"/>
      <c r="B440" s="12"/>
      <c r="C440" s="12"/>
      <c r="D440" s="90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00"/>
      <c r="B441" s="12"/>
      <c r="C441" s="12"/>
      <c r="D441" s="90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00"/>
      <c r="B442" s="12"/>
      <c r="C442" s="12"/>
      <c r="D442" s="90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00"/>
      <c r="B443" s="12"/>
      <c r="C443" s="12"/>
      <c r="D443" s="90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00"/>
      <c r="B444" s="12"/>
      <c r="C444" s="12"/>
      <c r="D444" s="90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00"/>
      <c r="B445" s="12"/>
      <c r="C445" s="12"/>
      <c r="D445" s="90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00"/>
      <c r="B446" s="12"/>
      <c r="C446" s="12"/>
      <c r="D446" s="90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00"/>
      <c r="B447" s="12"/>
      <c r="C447" s="12"/>
      <c r="D447" s="90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00"/>
      <c r="B448" s="12"/>
      <c r="C448" s="12"/>
      <c r="D448" s="90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00"/>
      <c r="B449" s="12"/>
      <c r="C449" s="12"/>
      <c r="D449" s="90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00"/>
      <c r="B450" s="12"/>
      <c r="C450" s="12"/>
      <c r="D450" s="90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00"/>
      <c r="B451" s="12"/>
      <c r="C451" s="12"/>
      <c r="D451" s="90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00"/>
      <c r="B452" s="12"/>
      <c r="C452" s="12"/>
      <c r="D452" s="90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00"/>
      <c r="B453" s="12"/>
      <c r="C453" s="12"/>
      <c r="D453" s="90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00"/>
      <c r="B454" s="12"/>
      <c r="C454" s="12"/>
      <c r="D454" s="90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00"/>
      <c r="B455" s="12"/>
      <c r="C455" s="12"/>
      <c r="D455" s="90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00"/>
      <c r="B456" s="12"/>
      <c r="C456" s="12"/>
      <c r="D456" s="90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00"/>
      <c r="B457" s="12"/>
      <c r="C457" s="12"/>
      <c r="D457" s="90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00"/>
      <c r="B458" s="12"/>
      <c r="C458" s="12"/>
      <c r="D458" s="90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00"/>
      <c r="B459" s="12"/>
      <c r="C459" s="12"/>
      <c r="D459" s="90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00"/>
      <c r="B460" s="12"/>
      <c r="C460" s="12"/>
      <c r="D460" s="90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00"/>
      <c r="B461" s="12"/>
      <c r="C461" s="12"/>
      <c r="D461" s="90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00"/>
      <c r="B462" s="12"/>
      <c r="C462" s="12"/>
      <c r="D462" s="90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00"/>
      <c r="B463" s="12"/>
      <c r="C463" s="12"/>
      <c r="D463" s="90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00"/>
      <c r="B464" s="12"/>
      <c r="C464" s="12"/>
      <c r="D464" s="90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00"/>
      <c r="B465" s="12"/>
      <c r="C465" s="12"/>
      <c r="D465" s="90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00"/>
      <c r="B466" s="12"/>
      <c r="C466" s="12"/>
      <c r="D466" s="90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00"/>
      <c r="B467" s="12"/>
      <c r="C467" s="12"/>
      <c r="D467" s="90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00"/>
      <c r="B468" s="12"/>
      <c r="C468" s="12"/>
      <c r="D468" s="90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00"/>
      <c r="B469" s="12"/>
      <c r="C469" s="12"/>
      <c r="D469" s="90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00"/>
      <c r="B470" s="12"/>
      <c r="C470" s="12"/>
      <c r="D470" s="90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00"/>
      <c r="B471" s="12"/>
      <c r="C471" s="12"/>
      <c r="D471" s="90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00"/>
      <c r="B472" s="12"/>
      <c r="C472" s="12"/>
      <c r="D472" s="90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00"/>
      <c r="B473" s="12"/>
      <c r="C473" s="12"/>
      <c r="D473" s="90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00"/>
      <c r="B474" s="12"/>
      <c r="C474" s="12"/>
      <c r="D474" s="90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00"/>
      <c r="B475" s="12"/>
      <c r="C475" s="12"/>
      <c r="D475" s="90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00"/>
      <c r="B476" s="12"/>
      <c r="C476" s="12"/>
      <c r="D476" s="90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00"/>
      <c r="B477" s="12"/>
      <c r="C477" s="12"/>
      <c r="D477" s="90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00"/>
      <c r="B478" s="12"/>
      <c r="C478" s="12"/>
      <c r="D478" s="90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00"/>
      <c r="B479" s="12"/>
      <c r="C479" s="12"/>
      <c r="D479" s="90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00"/>
      <c r="B480" s="12"/>
      <c r="C480" s="12"/>
      <c r="D480" s="90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00"/>
      <c r="B481" s="12"/>
      <c r="C481" s="12"/>
      <c r="D481" s="90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00"/>
      <c r="B482" s="12"/>
      <c r="C482" s="12"/>
      <c r="D482" s="90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00"/>
      <c r="B483" s="12"/>
      <c r="C483" s="12"/>
      <c r="D483" s="90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00"/>
      <c r="B484" s="12"/>
      <c r="C484" s="12"/>
      <c r="D484" s="90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00"/>
      <c r="B485" s="12"/>
      <c r="C485" s="12"/>
      <c r="D485" s="90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00"/>
      <c r="B486" s="12"/>
      <c r="C486" s="12"/>
      <c r="D486" s="90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00"/>
      <c r="B487" s="12"/>
      <c r="C487" s="12"/>
      <c r="D487" s="90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00"/>
      <c r="B488" s="12"/>
      <c r="C488" s="12"/>
      <c r="D488" s="90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00"/>
      <c r="B489" s="12"/>
      <c r="C489" s="12"/>
      <c r="D489" s="90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00"/>
      <c r="B490" s="12"/>
      <c r="C490" s="12"/>
      <c r="D490" s="90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00"/>
      <c r="B491" s="12"/>
      <c r="C491" s="12"/>
      <c r="D491" s="90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00"/>
      <c r="B492" s="12"/>
      <c r="C492" s="12"/>
      <c r="D492" s="90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00"/>
      <c r="B493" s="12"/>
      <c r="C493" s="12"/>
      <c r="D493" s="90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00"/>
      <c r="B494" s="12"/>
      <c r="C494" s="12"/>
      <c r="D494" s="90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00"/>
      <c r="B495" s="12"/>
      <c r="C495" s="12"/>
      <c r="D495" s="90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00"/>
      <c r="B496" s="12"/>
      <c r="C496" s="12"/>
      <c r="D496" s="90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00"/>
      <c r="B497" s="12"/>
      <c r="C497" s="12"/>
      <c r="D497" s="90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00"/>
      <c r="B498" s="12"/>
      <c r="C498" s="12"/>
      <c r="D498" s="90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00"/>
      <c r="B499" s="12"/>
      <c r="C499" s="12"/>
      <c r="D499" s="90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00"/>
      <c r="B500" s="12"/>
      <c r="C500" s="12"/>
      <c r="D500" s="90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00"/>
      <c r="B501" s="12"/>
      <c r="C501" s="12"/>
      <c r="D501" s="90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00"/>
      <c r="B502" s="12"/>
      <c r="C502" s="12"/>
      <c r="D502" s="90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00"/>
      <c r="B503" s="12"/>
      <c r="C503" s="12"/>
      <c r="D503" s="90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00"/>
      <c r="B504" s="12"/>
      <c r="C504" s="12"/>
      <c r="D504" s="90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00"/>
      <c r="B505" s="12"/>
      <c r="C505" s="12"/>
      <c r="D505" s="90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00"/>
      <c r="B506" s="12"/>
      <c r="C506" s="12"/>
      <c r="D506" s="90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00"/>
      <c r="B507" s="12"/>
      <c r="C507" s="12"/>
      <c r="D507" s="90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00"/>
      <c r="B508" s="12"/>
      <c r="C508" s="12"/>
      <c r="D508" s="90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00"/>
      <c r="B509" s="12"/>
      <c r="C509" s="12"/>
      <c r="D509" s="90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00"/>
      <c r="B510" s="12"/>
      <c r="C510" s="12"/>
      <c r="D510" s="90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00"/>
      <c r="B511" s="12"/>
      <c r="C511" s="12"/>
      <c r="D511" s="90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00"/>
      <c r="B512" s="12"/>
      <c r="C512" s="12"/>
      <c r="D512" s="90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00"/>
      <c r="B513" s="12"/>
      <c r="C513" s="12"/>
      <c r="D513" s="90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00"/>
      <c r="B514" s="12"/>
      <c r="C514" s="12"/>
      <c r="D514" s="90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00"/>
      <c r="B515" s="12"/>
      <c r="C515" s="12"/>
      <c r="D515" s="90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00"/>
      <c r="B516" s="12"/>
      <c r="C516" s="12"/>
      <c r="D516" s="90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00"/>
      <c r="B517" s="12"/>
      <c r="C517" s="12"/>
      <c r="D517" s="90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00"/>
      <c r="B518" s="12"/>
      <c r="C518" s="12"/>
      <c r="D518" s="90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00"/>
      <c r="B519" s="12"/>
      <c r="C519" s="12"/>
      <c r="D519" s="90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00"/>
      <c r="B520" s="12"/>
      <c r="C520" s="12"/>
      <c r="D520" s="90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00"/>
      <c r="B521" s="12"/>
      <c r="C521" s="12"/>
      <c r="D521" s="90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00"/>
      <c r="B522" s="12"/>
      <c r="C522" s="12"/>
      <c r="D522" s="90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00"/>
      <c r="B523" s="12"/>
      <c r="C523" s="12"/>
      <c r="D523" s="90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00"/>
      <c r="B524" s="12"/>
      <c r="C524" s="12"/>
      <c r="D524" s="90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00"/>
      <c r="B525" s="12"/>
      <c r="C525" s="12"/>
      <c r="D525" s="90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00"/>
      <c r="B526" s="12"/>
      <c r="C526" s="12"/>
      <c r="D526" s="90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00"/>
      <c r="B527" s="12"/>
      <c r="C527" s="12"/>
      <c r="D527" s="90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00"/>
      <c r="B528" s="12"/>
      <c r="C528" s="12"/>
      <c r="D528" s="90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00"/>
      <c r="B529" s="12"/>
      <c r="C529" s="12"/>
      <c r="D529" s="90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00"/>
      <c r="B530" s="12"/>
      <c r="C530" s="12"/>
      <c r="D530" s="90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00"/>
      <c r="B531" s="12"/>
      <c r="C531" s="12"/>
      <c r="D531" s="90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00"/>
      <c r="B532" s="12"/>
      <c r="C532" s="12"/>
      <c r="D532" s="90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00"/>
      <c r="B533" s="12"/>
      <c r="C533" s="12"/>
      <c r="D533" s="90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00"/>
      <c r="B534" s="12"/>
      <c r="C534" s="12"/>
      <c r="D534" s="90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00"/>
      <c r="B535" s="12"/>
      <c r="C535" s="12"/>
      <c r="D535" s="90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00"/>
      <c r="B536" s="12"/>
      <c r="C536" s="12"/>
      <c r="D536" s="90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00"/>
      <c r="B537" s="12"/>
      <c r="C537" s="12"/>
      <c r="D537" s="90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00"/>
      <c r="B538" s="12"/>
      <c r="C538" s="12"/>
      <c r="D538" s="90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00"/>
      <c r="B539" s="12"/>
      <c r="C539" s="12"/>
      <c r="D539" s="90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00"/>
      <c r="B540" s="12"/>
      <c r="C540" s="12"/>
      <c r="D540" s="90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00"/>
      <c r="B541" s="12"/>
      <c r="C541" s="12"/>
      <c r="D541" s="90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00"/>
      <c r="B542" s="12"/>
      <c r="C542" s="12"/>
      <c r="D542" s="90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00"/>
      <c r="B543" s="12"/>
      <c r="C543" s="12"/>
      <c r="D543" s="90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00"/>
      <c r="B544" s="12"/>
      <c r="C544" s="12"/>
      <c r="D544" s="90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00"/>
      <c r="B545" s="12"/>
      <c r="C545" s="12"/>
      <c r="D545" s="90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00"/>
      <c r="B546" s="12"/>
      <c r="C546" s="12"/>
      <c r="D546" s="90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00"/>
      <c r="B547" s="12"/>
      <c r="C547" s="12"/>
      <c r="D547" s="90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00"/>
      <c r="B548" s="12"/>
      <c r="C548" s="12"/>
      <c r="D548" s="90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00"/>
      <c r="B549" s="12"/>
      <c r="C549" s="12"/>
      <c r="D549" s="90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00"/>
      <c r="B550" s="12"/>
      <c r="C550" s="12"/>
      <c r="D550" s="90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00"/>
      <c r="B551" s="12"/>
      <c r="C551" s="12"/>
      <c r="D551" s="90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00"/>
      <c r="B552" s="12"/>
      <c r="C552" s="12"/>
      <c r="D552" s="90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00"/>
      <c r="B553" s="12"/>
      <c r="C553" s="12"/>
      <c r="D553" s="90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00"/>
      <c r="B554" s="12"/>
      <c r="C554" s="12"/>
      <c r="D554" s="90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00"/>
      <c r="B555" s="12"/>
      <c r="C555" s="12"/>
      <c r="D555" s="90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00"/>
      <c r="B556" s="12"/>
      <c r="C556" s="12"/>
      <c r="D556" s="90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00"/>
      <c r="B557" s="12"/>
      <c r="C557" s="12"/>
      <c r="D557" s="90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00"/>
      <c r="B558" s="12"/>
      <c r="C558" s="12"/>
      <c r="D558" s="90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00"/>
      <c r="B559" s="12"/>
      <c r="C559" s="12"/>
      <c r="D559" s="90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00"/>
      <c r="B560" s="12"/>
      <c r="C560" s="12"/>
      <c r="D560" s="90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00"/>
      <c r="B561" s="12"/>
      <c r="C561" s="12"/>
      <c r="D561" s="90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00"/>
      <c r="B562" s="12"/>
      <c r="C562" s="12"/>
      <c r="D562" s="90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00"/>
      <c r="B563" s="12"/>
      <c r="C563" s="12"/>
      <c r="D563" s="90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00"/>
      <c r="B564" s="12"/>
      <c r="C564" s="12"/>
      <c r="D564" s="90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00"/>
      <c r="B565" s="12"/>
      <c r="C565" s="12"/>
      <c r="D565" s="90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00"/>
      <c r="B566" s="12"/>
      <c r="C566" s="12"/>
      <c r="D566" s="90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00"/>
      <c r="B567" s="12"/>
      <c r="C567" s="12"/>
      <c r="D567" s="90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00"/>
      <c r="B568" s="12"/>
      <c r="C568" s="12"/>
      <c r="D568" s="90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00"/>
      <c r="B569" s="12"/>
      <c r="C569" s="12"/>
      <c r="D569" s="90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00"/>
      <c r="B570" s="12"/>
      <c r="C570" s="12"/>
      <c r="D570" s="90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00"/>
      <c r="B571" s="12"/>
      <c r="C571" s="12"/>
      <c r="D571" s="90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00"/>
      <c r="B572" s="12"/>
      <c r="C572" s="12"/>
      <c r="D572" s="90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00"/>
      <c r="B573" s="12"/>
      <c r="C573" s="12"/>
      <c r="D573" s="90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00"/>
      <c r="B574" s="12"/>
      <c r="C574" s="12"/>
      <c r="D574" s="90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00"/>
      <c r="B575" s="12"/>
      <c r="C575" s="12"/>
      <c r="D575" s="90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00"/>
      <c r="B576" s="12"/>
      <c r="C576" s="12"/>
      <c r="D576" s="90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00"/>
      <c r="B577" s="12"/>
      <c r="C577" s="12"/>
      <c r="D577" s="90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00"/>
      <c r="B578" s="12"/>
      <c r="C578" s="12"/>
      <c r="D578" s="90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00"/>
      <c r="B579" s="12"/>
      <c r="C579" s="12"/>
      <c r="D579" s="90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00"/>
      <c r="B580" s="12"/>
      <c r="C580" s="12"/>
      <c r="D580" s="90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00"/>
      <c r="B581" s="12"/>
      <c r="C581" s="12"/>
      <c r="D581" s="90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00"/>
      <c r="B582" s="12"/>
      <c r="C582" s="12"/>
      <c r="D582" s="90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00"/>
      <c r="B583" s="12"/>
      <c r="C583" s="12"/>
      <c r="D583" s="90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00"/>
      <c r="B584" s="12"/>
      <c r="C584" s="12"/>
      <c r="D584" s="90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00"/>
      <c r="B585" s="12"/>
      <c r="C585" s="12"/>
      <c r="D585" s="90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00"/>
      <c r="B586" s="12"/>
      <c r="C586" s="12"/>
      <c r="D586" s="90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00"/>
      <c r="B587" s="12"/>
      <c r="C587" s="12"/>
      <c r="D587" s="90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00"/>
      <c r="B588" s="12"/>
      <c r="C588" s="12"/>
      <c r="D588" s="90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00"/>
      <c r="B589" s="12"/>
      <c r="C589" s="12"/>
      <c r="D589" s="90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00"/>
      <c r="B590" s="12"/>
      <c r="C590" s="12"/>
      <c r="D590" s="90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00"/>
      <c r="B591" s="12"/>
      <c r="C591" s="12"/>
      <c r="D591" s="90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00"/>
      <c r="B592" s="12"/>
      <c r="C592" s="12"/>
      <c r="D592" s="90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00"/>
      <c r="B593" s="12"/>
      <c r="C593" s="12"/>
      <c r="D593" s="90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00"/>
      <c r="B594" s="12"/>
      <c r="C594" s="12"/>
      <c r="D594" s="90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00"/>
      <c r="B595" s="12"/>
      <c r="C595" s="12"/>
      <c r="D595" s="90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00"/>
      <c r="B596" s="12"/>
      <c r="C596" s="12"/>
      <c r="D596" s="90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00"/>
      <c r="B597" s="12"/>
      <c r="C597" s="12"/>
      <c r="D597" s="90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00"/>
      <c r="B598" s="12"/>
      <c r="C598" s="12"/>
      <c r="D598" s="90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00"/>
      <c r="B599" s="12"/>
      <c r="C599" s="12"/>
      <c r="D599" s="90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00"/>
      <c r="B600" s="12"/>
      <c r="C600" s="12"/>
      <c r="D600" s="90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00"/>
      <c r="B601" s="12"/>
      <c r="C601" s="12"/>
      <c r="D601" s="90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00"/>
      <c r="B602" s="12"/>
      <c r="C602" s="12"/>
      <c r="D602" s="90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00"/>
      <c r="B603" s="12"/>
      <c r="C603" s="12"/>
      <c r="D603" s="90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00"/>
      <c r="B604" s="12"/>
      <c r="C604" s="12"/>
      <c r="D604" s="90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00"/>
      <c r="B605" s="12"/>
      <c r="C605" s="12"/>
      <c r="D605" s="90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00"/>
      <c r="B606" s="12"/>
      <c r="C606" s="12"/>
      <c r="D606" s="90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00"/>
      <c r="B607" s="12"/>
      <c r="C607" s="12"/>
      <c r="D607" s="90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00"/>
      <c r="B608" s="12"/>
      <c r="C608" s="12"/>
      <c r="D608" s="90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00"/>
      <c r="B609" s="12"/>
      <c r="C609" s="12"/>
      <c r="D609" s="90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00"/>
      <c r="B610" s="12"/>
      <c r="C610" s="12"/>
      <c r="D610" s="90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00"/>
      <c r="B611" s="12"/>
      <c r="C611" s="12"/>
      <c r="D611" s="90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00"/>
      <c r="B612" s="12"/>
      <c r="C612" s="12"/>
      <c r="D612" s="90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00"/>
      <c r="B613" s="12"/>
      <c r="C613" s="12"/>
      <c r="D613" s="90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00"/>
      <c r="B614" s="12"/>
      <c r="C614" s="12"/>
      <c r="D614" s="90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00"/>
      <c r="B615" s="12"/>
      <c r="C615" s="12"/>
      <c r="D615" s="90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00"/>
      <c r="B616" s="12"/>
      <c r="C616" s="12"/>
      <c r="D616" s="90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00"/>
      <c r="B617" s="12"/>
      <c r="C617" s="12"/>
      <c r="D617" s="90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00"/>
      <c r="B618" s="12"/>
      <c r="C618" s="12"/>
      <c r="D618" s="90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00"/>
      <c r="B619" s="12"/>
      <c r="C619" s="12"/>
      <c r="D619" s="90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00"/>
      <c r="B620" s="12"/>
      <c r="C620" s="12"/>
      <c r="D620" s="90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00"/>
      <c r="B621" s="12"/>
      <c r="C621" s="12"/>
      <c r="D621" s="90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00"/>
      <c r="B622" s="12"/>
      <c r="C622" s="12"/>
      <c r="D622" s="90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00"/>
      <c r="B623" s="12"/>
      <c r="C623" s="12"/>
      <c r="D623" s="90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00"/>
      <c r="B624" s="12"/>
      <c r="C624" s="12"/>
      <c r="D624" s="90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00"/>
      <c r="B625" s="12"/>
      <c r="C625" s="12"/>
      <c r="D625" s="90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00"/>
      <c r="B626" s="12"/>
      <c r="C626" s="12"/>
      <c r="D626" s="90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00"/>
      <c r="B627" s="12"/>
      <c r="C627" s="12"/>
      <c r="D627" s="90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00"/>
      <c r="B628" s="12"/>
      <c r="C628" s="12"/>
      <c r="D628" s="90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00"/>
      <c r="B629" s="12"/>
      <c r="C629" s="12"/>
      <c r="D629" s="90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00"/>
      <c r="B630" s="12"/>
      <c r="C630" s="12"/>
      <c r="D630" s="90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00"/>
      <c r="B631" s="12"/>
      <c r="C631" s="12"/>
      <c r="D631" s="90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00"/>
      <c r="B632" s="12"/>
      <c r="C632" s="12"/>
      <c r="D632" s="90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00"/>
      <c r="B633" s="12"/>
      <c r="C633" s="12"/>
      <c r="D633" s="90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00"/>
      <c r="B634" s="12"/>
      <c r="C634" s="12"/>
      <c r="D634" s="90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00"/>
      <c r="B635" s="12"/>
      <c r="C635" s="12"/>
      <c r="D635" s="90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00"/>
      <c r="B636" s="12"/>
      <c r="C636" s="12"/>
      <c r="D636" s="90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00"/>
      <c r="B637" s="12"/>
      <c r="C637" s="12"/>
      <c r="D637" s="90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00"/>
      <c r="B638" s="12"/>
      <c r="C638" s="12"/>
      <c r="D638" s="90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00"/>
      <c r="B639" s="12"/>
      <c r="C639" s="12"/>
      <c r="D639" s="90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00"/>
      <c r="B640" s="12"/>
      <c r="C640" s="12"/>
      <c r="D640" s="90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00"/>
      <c r="B641" s="12"/>
      <c r="C641" s="12"/>
      <c r="D641" s="90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00"/>
      <c r="B642" s="12"/>
      <c r="C642" s="12"/>
      <c r="D642" s="90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00"/>
      <c r="B643" s="12"/>
      <c r="C643" s="12"/>
      <c r="D643" s="90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00"/>
      <c r="B644" s="12"/>
      <c r="C644" s="12"/>
      <c r="D644" s="90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00"/>
      <c r="B645" s="12"/>
      <c r="C645" s="12"/>
      <c r="D645" s="90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00"/>
      <c r="B646" s="12"/>
      <c r="C646" s="12"/>
      <c r="D646" s="90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00"/>
      <c r="B647" s="12"/>
      <c r="C647" s="12"/>
      <c r="D647" s="90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00"/>
      <c r="B648" s="12"/>
      <c r="C648" s="12"/>
      <c r="D648" s="90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00"/>
      <c r="B649" s="12"/>
      <c r="C649" s="12"/>
      <c r="D649" s="90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00"/>
      <c r="B650" s="12"/>
      <c r="C650" s="12"/>
      <c r="D650" s="90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00"/>
      <c r="B651" s="12"/>
      <c r="C651" s="12"/>
      <c r="D651" s="90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00"/>
      <c r="B652" s="12"/>
      <c r="C652" s="12"/>
      <c r="D652" s="90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00"/>
      <c r="B653" s="12"/>
      <c r="C653" s="12"/>
      <c r="D653" s="90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00"/>
      <c r="B654" s="12"/>
      <c r="C654" s="12"/>
      <c r="D654" s="90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00"/>
      <c r="B655" s="12"/>
      <c r="C655" s="12"/>
      <c r="D655" s="90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00"/>
      <c r="B656" s="12"/>
      <c r="C656" s="12"/>
      <c r="D656" s="90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00"/>
      <c r="B657" s="12"/>
      <c r="C657" s="12"/>
      <c r="D657" s="90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00"/>
      <c r="B658" s="12"/>
      <c r="C658" s="12"/>
      <c r="D658" s="90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00"/>
      <c r="B659" s="12"/>
      <c r="C659" s="12"/>
      <c r="D659" s="90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00"/>
      <c r="B660" s="12"/>
      <c r="C660" s="12"/>
      <c r="D660" s="90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00"/>
      <c r="B661" s="12"/>
      <c r="C661" s="12"/>
      <c r="D661" s="90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00"/>
      <c r="B662" s="12"/>
      <c r="C662" s="12"/>
      <c r="D662" s="90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00"/>
      <c r="B663" s="12"/>
      <c r="C663" s="12"/>
      <c r="D663" s="90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00"/>
      <c r="B664" s="12"/>
      <c r="C664" s="12"/>
      <c r="D664" s="90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00"/>
      <c r="B665" s="12"/>
      <c r="C665" s="12"/>
      <c r="D665" s="90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00"/>
      <c r="B666" s="12"/>
      <c r="C666" s="12"/>
      <c r="D666" s="90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00"/>
      <c r="B667" s="12"/>
      <c r="C667" s="12"/>
      <c r="D667" s="90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00"/>
      <c r="B668" s="12"/>
      <c r="C668" s="12"/>
      <c r="D668" s="90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00"/>
      <c r="B669" s="12"/>
      <c r="C669" s="12"/>
      <c r="D669" s="90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00"/>
      <c r="B670" s="12"/>
      <c r="C670" s="12"/>
      <c r="D670" s="90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00"/>
      <c r="B671" s="12"/>
      <c r="C671" s="12"/>
      <c r="D671" s="90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00"/>
      <c r="B672" s="12"/>
      <c r="C672" s="12"/>
      <c r="D672" s="90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00"/>
      <c r="B673" s="12"/>
      <c r="C673" s="12"/>
      <c r="D673" s="90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00"/>
      <c r="B674" s="12"/>
      <c r="C674" s="12"/>
      <c r="D674" s="90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00"/>
      <c r="B675" s="12"/>
      <c r="C675" s="12"/>
      <c r="D675" s="90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00"/>
      <c r="B676" s="12"/>
      <c r="C676" s="12"/>
      <c r="D676" s="90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00"/>
      <c r="B677" s="12"/>
      <c r="C677" s="12"/>
      <c r="D677" s="90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00"/>
      <c r="B678" s="12"/>
      <c r="C678" s="12"/>
      <c r="D678" s="90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00"/>
      <c r="B679" s="12"/>
      <c r="C679" s="12"/>
      <c r="D679" s="90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00"/>
      <c r="B680" s="12"/>
      <c r="C680" s="12"/>
      <c r="D680" s="90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00"/>
      <c r="B681" s="12"/>
      <c r="C681" s="12"/>
      <c r="D681" s="90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00"/>
      <c r="B682" s="12"/>
      <c r="C682" s="12"/>
      <c r="D682" s="90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00"/>
      <c r="B683" s="12"/>
      <c r="C683" s="12"/>
      <c r="D683" s="90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00"/>
      <c r="B684" s="12"/>
      <c r="C684" s="12"/>
      <c r="D684" s="90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00"/>
      <c r="B685" s="12"/>
      <c r="C685" s="12"/>
      <c r="D685" s="90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00"/>
      <c r="B686" s="12"/>
      <c r="C686" s="12"/>
      <c r="D686" s="90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00"/>
      <c r="B687" s="12"/>
      <c r="C687" s="12"/>
      <c r="D687" s="90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00"/>
      <c r="B688" s="12"/>
      <c r="C688" s="12"/>
      <c r="D688" s="90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00"/>
      <c r="B689" s="12"/>
      <c r="C689" s="12"/>
      <c r="D689" s="90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00"/>
      <c r="B690" s="12"/>
      <c r="C690" s="12"/>
      <c r="D690" s="90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00"/>
      <c r="B691" s="12"/>
      <c r="C691" s="12"/>
      <c r="D691" s="90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00"/>
      <c r="B692" s="12"/>
      <c r="C692" s="12"/>
      <c r="D692" s="90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00"/>
      <c r="B693" s="12"/>
      <c r="C693" s="12"/>
      <c r="D693" s="90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00"/>
      <c r="B694" s="12"/>
      <c r="C694" s="12"/>
      <c r="D694" s="90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00"/>
      <c r="B695" s="12"/>
      <c r="C695" s="12"/>
      <c r="D695" s="90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00"/>
      <c r="B696" s="12"/>
      <c r="C696" s="12"/>
      <c r="D696" s="90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00"/>
      <c r="B697" s="12"/>
      <c r="C697" s="12"/>
      <c r="D697" s="90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00"/>
      <c r="B698" s="12"/>
      <c r="C698" s="12"/>
      <c r="D698" s="90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00"/>
      <c r="B699" s="12"/>
      <c r="C699" s="12"/>
      <c r="D699" s="90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00"/>
      <c r="B700" s="12"/>
      <c r="C700" s="12"/>
      <c r="D700" s="90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00"/>
      <c r="B701" s="12"/>
      <c r="C701" s="12"/>
      <c r="D701" s="90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00"/>
      <c r="B702" s="12"/>
      <c r="C702" s="12"/>
      <c r="D702" s="90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00"/>
      <c r="B703" s="12"/>
      <c r="C703" s="12"/>
      <c r="D703" s="90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00"/>
      <c r="B704" s="12"/>
      <c r="C704" s="12"/>
      <c r="D704" s="90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00"/>
      <c r="B705" s="12"/>
      <c r="C705" s="12"/>
      <c r="D705" s="90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00"/>
      <c r="B706" s="12"/>
      <c r="C706" s="12"/>
      <c r="D706" s="90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00"/>
      <c r="B707" s="12"/>
      <c r="C707" s="12"/>
      <c r="D707" s="90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00"/>
      <c r="B708" s="12"/>
      <c r="C708" s="12"/>
      <c r="D708" s="90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00"/>
      <c r="B709" s="12"/>
      <c r="C709" s="12"/>
      <c r="D709" s="90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00"/>
      <c r="B710" s="12"/>
      <c r="C710" s="12"/>
      <c r="D710" s="90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00"/>
      <c r="B711" s="12"/>
      <c r="C711" s="12"/>
      <c r="D711" s="90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00"/>
      <c r="B712" s="12"/>
      <c r="C712" s="12"/>
      <c r="D712" s="90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00"/>
      <c r="B713" s="12"/>
      <c r="C713" s="12"/>
      <c r="D713" s="90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00"/>
      <c r="B714" s="12"/>
      <c r="C714" s="12"/>
      <c r="D714" s="90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00"/>
      <c r="B715" s="12"/>
      <c r="C715" s="12"/>
      <c r="D715" s="90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00"/>
      <c r="B716" s="12"/>
      <c r="C716" s="12"/>
      <c r="D716" s="90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00"/>
      <c r="B717" s="12"/>
      <c r="C717" s="12"/>
      <c r="D717" s="90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00"/>
      <c r="B718" s="12"/>
      <c r="C718" s="12"/>
      <c r="D718" s="90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00"/>
      <c r="B719" s="12"/>
      <c r="C719" s="12"/>
      <c r="D719" s="90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00"/>
      <c r="B720" s="12"/>
      <c r="C720" s="12"/>
      <c r="D720" s="90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00"/>
      <c r="B721" s="12"/>
      <c r="C721" s="12"/>
      <c r="D721" s="90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00"/>
      <c r="B722" s="12"/>
      <c r="C722" s="12"/>
      <c r="D722" s="90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00"/>
      <c r="B723" s="12"/>
      <c r="C723" s="12"/>
      <c r="D723" s="90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00"/>
      <c r="B724" s="12"/>
      <c r="C724" s="12"/>
      <c r="D724" s="90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00"/>
      <c r="B725" s="12"/>
      <c r="C725" s="12"/>
      <c r="D725" s="90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00"/>
      <c r="B726" s="12"/>
      <c r="C726" s="12"/>
      <c r="D726" s="90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00"/>
      <c r="B727" s="12"/>
      <c r="C727" s="12"/>
      <c r="D727" s="90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00"/>
      <c r="B728" s="12"/>
      <c r="C728" s="12"/>
      <c r="D728" s="90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00"/>
      <c r="B729" s="12"/>
      <c r="C729" s="12"/>
      <c r="D729" s="90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00"/>
      <c r="B730" s="12"/>
      <c r="C730" s="12"/>
      <c r="D730" s="90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00"/>
      <c r="B731" s="12"/>
      <c r="C731" s="12"/>
      <c r="D731" s="90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00"/>
      <c r="B732" s="12"/>
      <c r="C732" s="12"/>
      <c r="D732" s="90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00"/>
      <c r="B733" s="12"/>
      <c r="C733" s="12"/>
      <c r="D733" s="90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00"/>
      <c r="B734" s="12"/>
      <c r="C734" s="12"/>
      <c r="D734" s="90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00"/>
      <c r="B735" s="12"/>
      <c r="C735" s="12"/>
      <c r="D735" s="90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00"/>
      <c r="B736" s="12"/>
      <c r="C736" s="12"/>
      <c r="D736" s="90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00"/>
      <c r="B737" s="12"/>
      <c r="C737" s="12"/>
      <c r="D737" s="90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00"/>
      <c r="B738" s="12"/>
      <c r="C738" s="12"/>
      <c r="D738" s="90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00"/>
      <c r="B739" s="12"/>
      <c r="C739" s="12"/>
      <c r="D739" s="90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00"/>
      <c r="B740" s="12"/>
      <c r="C740" s="12"/>
      <c r="D740" s="90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00"/>
      <c r="B741" s="12"/>
      <c r="C741" s="12"/>
      <c r="D741" s="90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00"/>
      <c r="B742" s="12"/>
      <c r="C742" s="12"/>
      <c r="D742" s="90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00"/>
      <c r="B743" s="12"/>
      <c r="C743" s="12"/>
      <c r="D743" s="90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00"/>
      <c r="B744" s="12"/>
      <c r="C744" s="12"/>
      <c r="D744" s="90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00"/>
      <c r="B745" s="12"/>
      <c r="C745" s="12"/>
      <c r="D745" s="90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00"/>
      <c r="B746" s="12"/>
      <c r="C746" s="12"/>
      <c r="D746" s="90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00"/>
      <c r="B747" s="12"/>
      <c r="C747" s="12"/>
      <c r="D747" s="90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00"/>
      <c r="B748" s="12"/>
      <c r="C748" s="12"/>
      <c r="D748" s="90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00"/>
      <c r="B749" s="12"/>
      <c r="C749" s="12"/>
      <c r="D749" s="90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00"/>
      <c r="B750" s="12"/>
      <c r="C750" s="12"/>
      <c r="D750" s="90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00"/>
      <c r="B751" s="12"/>
      <c r="C751" s="12"/>
      <c r="D751" s="90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00"/>
      <c r="B752" s="12"/>
      <c r="C752" s="12"/>
      <c r="D752" s="90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00"/>
      <c r="B753" s="12"/>
      <c r="C753" s="12"/>
      <c r="D753" s="90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00"/>
      <c r="B754" s="12"/>
      <c r="C754" s="12"/>
      <c r="D754" s="90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00"/>
      <c r="B755" s="12"/>
      <c r="C755" s="12"/>
      <c r="D755" s="90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00"/>
      <c r="B756" s="12"/>
      <c r="C756" s="12"/>
      <c r="D756" s="90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00"/>
      <c r="B757" s="12"/>
      <c r="C757" s="12"/>
      <c r="D757" s="90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00"/>
      <c r="B758" s="12"/>
      <c r="C758" s="12"/>
      <c r="D758" s="90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00"/>
      <c r="B759" s="12"/>
      <c r="C759" s="12"/>
      <c r="D759" s="90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00"/>
      <c r="B760" s="12"/>
      <c r="C760" s="12"/>
      <c r="D760" s="90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00"/>
      <c r="B761" s="12"/>
      <c r="C761" s="12"/>
      <c r="D761" s="90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00"/>
      <c r="B762" s="12"/>
      <c r="C762" s="12"/>
      <c r="D762" s="90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00"/>
      <c r="B763" s="12"/>
      <c r="C763" s="12"/>
      <c r="D763" s="90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00"/>
      <c r="B764" s="12"/>
      <c r="C764" s="12"/>
      <c r="D764" s="90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00"/>
      <c r="B765" s="12"/>
      <c r="C765" s="12"/>
      <c r="D765" s="90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00"/>
      <c r="B766" s="12"/>
      <c r="C766" s="12"/>
      <c r="D766" s="90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00"/>
      <c r="B767" s="12"/>
      <c r="C767" s="12"/>
      <c r="D767" s="90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00"/>
      <c r="B768" s="12"/>
      <c r="C768" s="12"/>
      <c r="D768" s="90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00"/>
      <c r="B769" s="12"/>
      <c r="C769" s="12"/>
      <c r="D769" s="90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00"/>
      <c r="B770" s="12"/>
      <c r="C770" s="12"/>
      <c r="D770" s="90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00"/>
      <c r="B771" s="12"/>
      <c r="C771" s="12"/>
      <c r="D771" s="90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00"/>
      <c r="B772" s="12"/>
      <c r="C772" s="12"/>
      <c r="D772" s="90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00"/>
      <c r="B773" s="12"/>
      <c r="C773" s="12"/>
      <c r="D773" s="90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00"/>
      <c r="B774" s="12"/>
      <c r="C774" s="12"/>
      <c r="D774" s="90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00"/>
      <c r="B775" s="12"/>
      <c r="C775" s="12"/>
      <c r="D775" s="90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00"/>
      <c r="B776" s="12"/>
      <c r="C776" s="12"/>
      <c r="D776" s="90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00"/>
      <c r="B777" s="12"/>
      <c r="C777" s="12"/>
      <c r="D777" s="90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00"/>
      <c r="B778" s="12"/>
      <c r="C778" s="12"/>
      <c r="D778" s="90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00"/>
      <c r="B779" s="12"/>
      <c r="C779" s="12"/>
      <c r="D779" s="90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00"/>
      <c r="B780" s="12"/>
      <c r="C780" s="12"/>
      <c r="D780" s="90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00"/>
      <c r="B781" s="12"/>
      <c r="C781" s="12"/>
      <c r="D781" s="90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00"/>
      <c r="B782" s="12"/>
      <c r="C782" s="12"/>
      <c r="D782" s="90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00"/>
      <c r="B783" s="12"/>
      <c r="C783" s="12"/>
      <c r="D783" s="90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00"/>
      <c r="B784" s="12"/>
      <c r="C784" s="12"/>
      <c r="D784" s="90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00"/>
      <c r="B785" s="12"/>
      <c r="C785" s="12"/>
      <c r="D785" s="90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00"/>
      <c r="B786" s="12"/>
      <c r="C786" s="12"/>
      <c r="D786" s="90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00"/>
      <c r="B787" s="12"/>
      <c r="C787" s="12"/>
      <c r="D787" s="90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00"/>
      <c r="B788" s="12"/>
      <c r="C788" s="12"/>
      <c r="D788" s="90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00"/>
      <c r="B789" s="12"/>
      <c r="C789" s="12"/>
      <c r="D789" s="90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00"/>
      <c r="B790" s="12"/>
      <c r="C790" s="12"/>
      <c r="D790" s="90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00"/>
      <c r="B791" s="12"/>
      <c r="C791" s="12"/>
      <c r="D791" s="90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00"/>
      <c r="B792" s="12"/>
      <c r="C792" s="12"/>
      <c r="D792" s="90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00"/>
      <c r="B793" s="12"/>
      <c r="C793" s="12"/>
      <c r="D793" s="90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00"/>
      <c r="B794" s="12"/>
      <c r="C794" s="12"/>
      <c r="D794" s="90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00"/>
      <c r="B795" s="12"/>
      <c r="C795" s="12"/>
      <c r="D795" s="90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00"/>
      <c r="B796" s="12"/>
      <c r="C796" s="12"/>
      <c r="D796" s="90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00"/>
      <c r="B797" s="12"/>
      <c r="C797" s="12"/>
      <c r="D797" s="90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00"/>
      <c r="B798" s="12"/>
      <c r="C798" s="12"/>
      <c r="D798" s="90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00"/>
      <c r="B799" s="12"/>
      <c r="C799" s="12"/>
      <c r="D799" s="90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00"/>
      <c r="B800" s="12"/>
      <c r="C800" s="12"/>
      <c r="D800" s="90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00"/>
      <c r="B801" s="12"/>
      <c r="C801" s="12"/>
      <c r="D801" s="90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00"/>
      <c r="B802" s="12"/>
      <c r="C802" s="12"/>
      <c r="D802" s="90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00"/>
      <c r="B803" s="12"/>
      <c r="C803" s="12"/>
      <c r="D803" s="90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00"/>
      <c r="B804" s="12"/>
      <c r="C804" s="12"/>
      <c r="D804" s="90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00"/>
      <c r="B805" s="12"/>
      <c r="C805" s="12"/>
      <c r="D805" s="90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00"/>
      <c r="B806" s="12"/>
      <c r="C806" s="12"/>
      <c r="D806" s="90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00"/>
      <c r="B807" s="12"/>
      <c r="C807" s="12"/>
      <c r="D807" s="90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00"/>
      <c r="B808" s="12"/>
      <c r="C808" s="12"/>
      <c r="D808" s="90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00"/>
      <c r="B809" s="12"/>
      <c r="C809" s="12"/>
      <c r="D809" s="90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00"/>
      <c r="B810" s="12"/>
      <c r="C810" s="12"/>
      <c r="D810" s="90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00"/>
      <c r="B811" s="12"/>
      <c r="C811" s="12"/>
      <c r="D811" s="90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00"/>
      <c r="B812" s="12"/>
      <c r="C812" s="12"/>
      <c r="D812" s="90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00"/>
      <c r="B813" s="12"/>
      <c r="C813" s="12"/>
      <c r="D813" s="90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00"/>
      <c r="B814" s="12"/>
      <c r="C814" s="12"/>
      <c r="D814" s="90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00"/>
      <c r="B815" s="12"/>
      <c r="C815" s="12"/>
      <c r="D815" s="90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00"/>
      <c r="B816" s="12"/>
      <c r="C816" s="12"/>
      <c r="D816" s="90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00"/>
      <c r="B817" s="12"/>
      <c r="C817" s="12"/>
      <c r="D817" s="90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00"/>
      <c r="B818" s="12"/>
      <c r="C818" s="12"/>
      <c r="D818" s="90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00"/>
      <c r="B819" s="12"/>
      <c r="C819" s="12"/>
      <c r="D819" s="90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00"/>
      <c r="B820" s="12"/>
      <c r="C820" s="12"/>
      <c r="D820" s="90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00"/>
      <c r="B821" s="12"/>
      <c r="C821" s="12"/>
      <c r="D821" s="90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00"/>
      <c r="B822" s="12"/>
      <c r="C822" s="12"/>
      <c r="D822" s="90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00"/>
      <c r="B823" s="12"/>
      <c r="C823" s="12"/>
      <c r="D823" s="90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00"/>
      <c r="B824" s="12"/>
      <c r="C824" s="12"/>
      <c r="D824" s="90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00"/>
      <c r="B825" s="12"/>
      <c r="C825" s="12"/>
      <c r="D825" s="90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00"/>
      <c r="B826" s="12"/>
      <c r="C826" s="12"/>
      <c r="D826" s="90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00"/>
      <c r="B827" s="12"/>
      <c r="C827" s="12"/>
      <c r="D827" s="90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00"/>
      <c r="B828" s="12"/>
      <c r="C828" s="12"/>
      <c r="D828" s="90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00"/>
      <c r="B829" s="12"/>
      <c r="C829" s="12"/>
      <c r="D829" s="90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00"/>
      <c r="B830" s="12"/>
      <c r="C830" s="12"/>
      <c r="D830" s="90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00"/>
      <c r="B831" s="12"/>
      <c r="C831" s="12"/>
      <c r="D831" s="90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00"/>
      <c r="B832" s="12"/>
      <c r="C832" s="12"/>
      <c r="D832" s="90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00"/>
      <c r="B833" s="12"/>
      <c r="C833" s="12"/>
      <c r="D833" s="90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00"/>
      <c r="B834" s="12"/>
      <c r="C834" s="12"/>
      <c r="D834" s="90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00"/>
      <c r="B835" s="12"/>
      <c r="C835" s="12"/>
      <c r="D835" s="90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00"/>
      <c r="B836" s="12"/>
      <c r="C836" s="12"/>
      <c r="D836" s="90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00"/>
      <c r="B837" s="12"/>
      <c r="C837" s="12"/>
      <c r="D837" s="90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00"/>
      <c r="B838" s="12"/>
      <c r="C838" s="12"/>
      <c r="D838" s="90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00"/>
      <c r="B839" s="12"/>
      <c r="C839" s="12"/>
      <c r="D839" s="90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00"/>
      <c r="B840" s="12"/>
      <c r="C840" s="12"/>
      <c r="D840" s="90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00"/>
      <c r="B841" s="12"/>
      <c r="C841" s="12"/>
      <c r="D841" s="90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00"/>
      <c r="B842" s="12"/>
      <c r="C842" s="12"/>
      <c r="D842" s="90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00"/>
      <c r="B843" s="12"/>
      <c r="C843" s="12"/>
      <c r="D843" s="90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00"/>
      <c r="B844" s="12"/>
      <c r="C844" s="12"/>
      <c r="D844" s="90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00"/>
      <c r="B845" s="12"/>
      <c r="C845" s="12"/>
      <c r="D845" s="90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00"/>
      <c r="B846" s="12"/>
      <c r="C846" s="12"/>
      <c r="D846" s="90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00"/>
      <c r="B847" s="12"/>
      <c r="C847" s="12"/>
      <c r="D847" s="90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00"/>
      <c r="B848" s="12"/>
      <c r="C848" s="12"/>
      <c r="D848" s="90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00"/>
      <c r="B849" s="12"/>
      <c r="C849" s="12"/>
      <c r="D849" s="90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00"/>
      <c r="B850" s="12"/>
      <c r="C850" s="12"/>
      <c r="D850" s="90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00"/>
      <c r="B851" s="12"/>
      <c r="C851" s="12"/>
      <c r="D851" s="90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00"/>
      <c r="B852" s="12"/>
      <c r="C852" s="12"/>
      <c r="D852" s="90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00"/>
      <c r="B853" s="12"/>
      <c r="C853" s="12"/>
      <c r="D853" s="90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00"/>
      <c r="B854" s="12"/>
      <c r="C854" s="12"/>
      <c r="D854" s="90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00"/>
      <c r="B855" s="12"/>
      <c r="C855" s="12"/>
      <c r="D855" s="90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00"/>
      <c r="B856" s="12"/>
      <c r="C856" s="12"/>
      <c r="D856" s="90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00"/>
      <c r="B857" s="12"/>
      <c r="C857" s="12"/>
      <c r="D857" s="90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00"/>
      <c r="B858" s="12"/>
      <c r="C858" s="12"/>
      <c r="D858" s="90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00"/>
      <c r="B859" s="12"/>
      <c r="C859" s="12"/>
      <c r="D859" s="90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00"/>
      <c r="B860" s="12"/>
      <c r="C860" s="12"/>
      <c r="D860" s="90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00"/>
      <c r="B861" s="12"/>
      <c r="C861" s="12"/>
      <c r="D861" s="90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00"/>
      <c r="B862" s="12"/>
      <c r="C862" s="12"/>
      <c r="D862" s="90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00"/>
      <c r="B863" s="12"/>
      <c r="C863" s="12"/>
      <c r="D863" s="90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00"/>
      <c r="B864" s="12"/>
      <c r="C864" s="12"/>
      <c r="D864" s="90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00"/>
      <c r="B865" s="12"/>
      <c r="C865" s="12"/>
      <c r="D865" s="90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00"/>
      <c r="B866" s="12"/>
      <c r="C866" s="12"/>
      <c r="D866" s="90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00"/>
      <c r="B867" s="12"/>
      <c r="C867" s="12"/>
      <c r="D867" s="90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00"/>
      <c r="B868" s="12"/>
      <c r="C868" s="12"/>
      <c r="D868" s="90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00"/>
      <c r="B869" s="12"/>
      <c r="C869" s="12"/>
      <c r="D869" s="90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00"/>
      <c r="B870" s="12"/>
      <c r="C870" s="12"/>
      <c r="D870" s="90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00"/>
      <c r="B871" s="12"/>
      <c r="C871" s="12"/>
      <c r="D871" s="90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00"/>
      <c r="B872" s="12"/>
      <c r="C872" s="12"/>
      <c r="D872" s="90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00"/>
      <c r="B873" s="12"/>
      <c r="C873" s="12"/>
      <c r="D873" s="90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00"/>
      <c r="B874" s="12"/>
      <c r="C874" s="12"/>
      <c r="D874" s="90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00"/>
      <c r="B875" s="12"/>
      <c r="C875" s="12"/>
      <c r="D875" s="90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00"/>
      <c r="B876" s="12"/>
      <c r="C876" s="12"/>
      <c r="D876" s="90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00"/>
      <c r="B877" s="12"/>
      <c r="C877" s="12"/>
      <c r="D877" s="90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00"/>
      <c r="B878" s="12"/>
      <c r="C878" s="12"/>
      <c r="D878" s="90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00"/>
      <c r="B879" s="12"/>
      <c r="C879" s="12"/>
      <c r="D879" s="90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00"/>
      <c r="B880" s="12"/>
      <c r="C880" s="12"/>
      <c r="D880" s="90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00"/>
      <c r="B881" s="12"/>
      <c r="C881" s="12"/>
      <c r="D881" s="90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00"/>
      <c r="B882" s="12"/>
      <c r="C882" s="12"/>
      <c r="D882" s="90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00"/>
      <c r="B883" s="12"/>
      <c r="C883" s="12"/>
      <c r="D883" s="90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00"/>
      <c r="B884" s="12"/>
      <c r="C884" s="12"/>
      <c r="D884" s="90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00"/>
      <c r="B885" s="12"/>
      <c r="C885" s="12"/>
      <c r="D885" s="90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00"/>
      <c r="B886" s="12"/>
      <c r="C886" s="12"/>
      <c r="D886" s="90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00"/>
      <c r="B887" s="12"/>
      <c r="C887" s="12"/>
      <c r="D887" s="90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00"/>
      <c r="B888" s="12"/>
      <c r="C888" s="12"/>
      <c r="D888" s="90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00"/>
      <c r="B889" s="12"/>
      <c r="C889" s="12"/>
      <c r="D889" s="90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00"/>
      <c r="B890" s="12"/>
      <c r="C890" s="12"/>
      <c r="D890" s="90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00"/>
      <c r="B891" s="12"/>
      <c r="C891" s="12"/>
      <c r="D891" s="90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00"/>
      <c r="B892" s="12"/>
      <c r="C892" s="12"/>
      <c r="D892" s="90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00"/>
      <c r="B893" s="12"/>
      <c r="C893" s="12"/>
      <c r="D893" s="90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00"/>
      <c r="B894" s="12"/>
      <c r="C894" s="12"/>
      <c r="D894" s="90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00"/>
      <c r="B895" s="12"/>
      <c r="C895" s="12"/>
      <c r="D895" s="90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00"/>
      <c r="B896" s="12"/>
      <c r="C896" s="12"/>
      <c r="D896" s="90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00"/>
      <c r="B897" s="12"/>
      <c r="C897" s="12"/>
      <c r="D897" s="90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00"/>
      <c r="B898" s="12"/>
      <c r="C898" s="12"/>
      <c r="D898" s="90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00"/>
      <c r="B899" s="12"/>
      <c r="C899" s="12"/>
      <c r="D899" s="90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00"/>
      <c r="B900" s="12"/>
      <c r="C900" s="12"/>
      <c r="D900" s="90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00"/>
      <c r="B901" s="12"/>
      <c r="C901" s="12"/>
      <c r="D901" s="90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00"/>
      <c r="B902" s="12"/>
      <c r="C902" s="12"/>
      <c r="D902" s="90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00"/>
      <c r="B903" s="12"/>
      <c r="C903" s="12"/>
      <c r="D903" s="90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00"/>
      <c r="B904" s="12"/>
      <c r="C904" s="12"/>
      <c r="D904" s="90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00"/>
      <c r="B905" s="12"/>
      <c r="C905" s="12"/>
      <c r="D905" s="90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00"/>
      <c r="B906" s="12"/>
      <c r="C906" s="12"/>
      <c r="D906" s="90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00"/>
      <c r="B907" s="12"/>
      <c r="C907" s="12"/>
      <c r="D907" s="90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00"/>
      <c r="B908" s="12"/>
      <c r="C908" s="12"/>
      <c r="D908" s="90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00"/>
      <c r="B909" s="12"/>
      <c r="C909" s="12"/>
      <c r="D909" s="90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00"/>
      <c r="B910" s="12"/>
      <c r="C910" s="12"/>
      <c r="D910" s="90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00"/>
      <c r="B911" s="12"/>
      <c r="C911" s="12"/>
      <c r="D911" s="90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00"/>
      <c r="B912" s="12"/>
      <c r="C912" s="12"/>
      <c r="D912" s="90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00"/>
      <c r="B913" s="12"/>
      <c r="C913" s="12"/>
      <c r="D913" s="90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00"/>
      <c r="B914" s="12"/>
      <c r="C914" s="12"/>
      <c r="D914" s="90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00"/>
      <c r="B915" s="12"/>
      <c r="C915" s="12"/>
      <c r="D915" s="90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00"/>
      <c r="B916" s="12"/>
      <c r="C916" s="12"/>
      <c r="D916" s="90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00"/>
      <c r="B917" s="12"/>
      <c r="C917" s="12"/>
      <c r="D917" s="90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00"/>
      <c r="B918" s="12"/>
      <c r="C918" s="12"/>
      <c r="D918" s="90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00"/>
      <c r="B919" s="12"/>
      <c r="C919" s="12"/>
      <c r="D919" s="90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00"/>
      <c r="B920" s="12"/>
      <c r="C920" s="12"/>
      <c r="D920" s="90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00"/>
      <c r="B921" s="12"/>
      <c r="C921" s="12"/>
      <c r="D921" s="90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00"/>
      <c r="B922" s="12"/>
      <c r="C922" s="12"/>
      <c r="D922" s="90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00"/>
      <c r="B923" s="12"/>
      <c r="C923" s="12"/>
      <c r="D923" s="90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00"/>
      <c r="B924" s="12"/>
      <c r="C924" s="12"/>
      <c r="D924" s="90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00"/>
      <c r="B925" s="12"/>
      <c r="C925" s="12"/>
      <c r="D925" s="90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00"/>
      <c r="B926" s="12"/>
      <c r="C926" s="12"/>
      <c r="D926" s="90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00"/>
      <c r="B927" s="12"/>
      <c r="C927" s="12"/>
      <c r="D927" s="90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00"/>
      <c r="B928" s="12"/>
      <c r="C928" s="12"/>
      <c r="D928" s="90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00"/>
      <c r="B929" s="12"/>
      <c r="C929" s="12"/>
      <c r="D929" s="90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00"/>
      <c r="B930" s="12"/>
      <c r="C930" s="12"/>
      <c r="D930" s="90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00"/>
      <c r="B931" s="12"/>
      <c r="C931" s="12"/>
      <c r="D931" s="90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00"/>
      <c r="B932" s="12"/>
      <c r="C932" s="12"/>
      <c r="D932" s="90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00"/>
      <c r="B933" s="12"/>
      <c r="C933" s="12"/>
      <c r="D933" s="90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00"/>
      <c r="B934" s="12"/>
      <c r="C934" s="12"/>
      <c r="D934" s="90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00"/>
      <c r="B935" s="12"/>
      <c r="C935" s="12"/>
      <c r="D935" s="90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00"/>
      <c r="B936" s="12"/>
      <c r="C936" s="12"/>
      <c r="D936" s="90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00"/>
      <c r="B937" s="12"/>
      <c r="C937" s="12"/>
      <c r="D937" s="90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00"/>
      <c r="B938" s="12"/>
      <c r="C938" s="12"/>
      <c r="D938" s="90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00"/>
      <c r="B939" s="12"/>
      <c r="C939" s="12"/>
      <c r="D939" s="90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00"/>
      <c r="B940" s="12"/>
      <c r="C940" s="12"/>
      <c r="D940" s="90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00"/>
      <c r="B941" s="12"/>
      <c r="C941" s="12"/>
      <c r="D941" s="90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00"/>
      <c r="B942" s="12"/>
      <c r="C942" s="12"/>
      <c r="D942" s="90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00"/>
      <c r="B943" s="12"/>
      <c r="C943" s="12"/>
      <c r="D943" s="90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00"/>
      <c r="B944" s="12"/>
      <c r="C944" s="12"/>
      <c r="D944" s="90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00"/>
      <c r="B945" s="12"/>
      <c r="C945" s="12"/>
      <c r="D945" s="90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00"/>
      <c r="B946" s="12"/>
      <c r="C946" s="12"/>
      <c r="D946" s="90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00"/>
      <c r="B947" s="12"/>
      <c r="C947" s="12"/>
      <c r="D947" s="90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00"/>
      <c r="B948" s="12"/>
      <c r="C948" s="12"/>
      <c r="D948" s="90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00"/>
      <c r="B949" s="12"/>
      <c r="C949" s="12"/>
      <c r="D949" s="90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00"/>
      <c r="B950" s="12"/>
      <c r="C950" s="12"/>
      <c r="D950" s="90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00"/>
      <c r="B951" s="12"/>
      <c r="C951" s="12"/>
      <c r="D951" s="90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00"/>
      <c r="B952" s="12"/>
      <c r="C952" s="12"/>
      <c r="D952" s="90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00"/>
      <c r="B953" s="12"/>
      <c r="C953" s="12"/>
      <c r="D953" s="90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00"/>
      <c r="B954" s="12"/>
      <c r="C954" s="12"/>
      <c r="D954" s="90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00"/>
      <c r="B955" s="12"/>
      <c r="C955" s="12"/>
      <c r="D955" s="90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00"/>
      <c r="B956" s="12"/>
      <c r="C956" s="12"/>
      <c r="D956" s="90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00"/>
      <c r="B957" s="12"/>
      <c r="C957" s="12"/>
      <c r="D957" s="90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00"/>
      <c r="B958" s="12"/>
      <c r="C958" s="12"/>
      <c r="D958" s="90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00"/>
      <c r="B959" s="12"/>
      <c r="C959" s="12"/>
      <c r="D959" s="90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00"/>
      <c r="B960" s="12"/>
      <c r="C960" s="12"/>
      <c r="D960" s="90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00"/>
      <c r="B961" s="12"/>
      <c r="C961" s="12"/>
      <c r="D961" s="90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00"/>
      <c r="B962" s="12"/>
      <c r="C962" s="12"/>
      <c r="D962" s="90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00"/>
      <c r="B963" s="12"/>
      <c r="C963" s="12"/>
      <c r="D963" s="90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00"/>
      <c r="B964" s="12"/>
      <c r="C964" s="12"/>
      <c r="D964" s="90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00"/>
      <c r="B965" s="12"/>
      <c r="C965" s="12"/>
      <c r="D965" s="90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00"/>
      <c r="B966" s="12"/>
      <c r="C966" s="12"/>
      <c r="D966" s="90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00"/>
      <c r="B967" s="12"/>
      <c r="C967" s="12"/>
      <c r="D967" s="90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00"/>
      <c r="B968" s="12"/>
      <c r="C968" s="12"/>
      <c r="D968" s="90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00"/>
      <c r="B969" s="12"/>
      <c r="C969" s="12"/>
      <c r="D969" s="90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00"/>
      <c r="B970" s="12"/>
      <c r="C970" s="12"/>
      <c r="D970" s="90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00"/>
      <c r="B971" s="12"/>
      <c r="C971" s="12"/>
      <c r="D971" s="90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00"/>
      <c r="B972" s="12"/>
      <c r="C972" s="12"/>
      <c r="D972" s="90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00"/>
      <c r="B973" s="12"/>
      <c r="C973" s="12"/>
      <c r="D973" s="90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00"/>
      <c r="B974" s="12"/>
      <c r="C974" s="12"/>
      <c r="D974" s="90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00"/>
      <c r="B975" s="12"/>
      <c r="C975" s="12"/>
      <c r="D975" s="90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00"/>
      <c r="B976" s="12"/>
      <c r="C976" s="12"/>
      <c r="D976" s="90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00"/>
      <c r="B977" s="12"/>
      <c r="C977" s="12"/>
      <c r="D977" s="90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00"/>
      <c r="B978" s="12"/>
      <c r="C978" s="12"/>
      <c r="D978" s="90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00"/>
      <c r="B979" s="12"/>
      <c r="C979" s="12"/>
      <c r="D979" s="90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00"/>
      <c r="B980" s="12"/>
      <c r="C980" s="12"/>
      <c r="D980" s="90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00"/>
      <c r="B981" s="12"/>
      <c r="C981" s="12"/>
      <c r="D981" s="90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00"/>
      <c r="B982" s="12"/>
      <c r="C982" s="12"/>
      <c r="D982" s="90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00"/>
      <c r="B983" s="12"/>
      <c r="C983" s="12"/>
      <c r="D983" s="90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00"/>
      <c r="B984" s="12"/>
      <c r="C984" s="12"/>
      <c r="D984" s="90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00"/>
      <c r="B985" s="12"/>
      <c r="C985" s="12"/>
      <c r="D985" s="90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00"/>
      <c r="B986" s="12"/>
      <c r="C986" s="12"/>
      <c r="D986" s="90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00"/>
      <c r="B987" s="12"/>
      <c r="C987" s="12"/>
      <c r="D987" s="90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00"/>
      <c r="B988" s="12"/>
      <c r="C988" s="12"/>
      <c r="D988" s="90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00"/>
      <c r="B989" s="12"/>
      <c r="C989" s="12"/>
      <c r="D989" s="90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00"/>
      <c r="B990" s="12"/>
      <c r="C990" s="12"/>
      <c r="D990" s="90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00"/>
      <c r="B991" s="12"/>
      <c r="C991" s="12"/>
      <c r="D991" s="90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00"/>
      <c r="B992" s="12"/>
      <c r="C992" s="12"/>
      <c r="D992" s="90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</sheetData>
  <mergeCells count="1">
    <mergeCell ref="A1:E1"/>
  </mergeCells>
  <hyperlinks>
    <hyperlink r:id="rId1" ref="A3"/>
    <hyperlink r:id="rId2" ref="C3"/>
    <hyperlink r:id="rId3" ref="A4"/>
    <hyperlink r:id="rId4" ref="B4"/>
    <hyperlink r:id="rId5" ref="C4"/>
    <hyperlink r:id="rId6" ref="A5"/>
    <hyperlink r:id="rId7" ref="B5"/>
    <hyperlink r:id="rId8" ref="C5"/>
    <hyperlink r:id="rId9" ref="A6"/>
    <hyperlink r:id="rId10" ref="B6"/>
    <hyperlink r:id="rId11" ref="C6"/>
    <hyperlink r:id="rId12" ref="A7"/>
    <hyperlink r:id="rId13" ref="B7"/>
    <hyperlink r:id="rId14" ref="C7"/>
  </hyperlinks>
  <printOptions/>
  <pageMargins bottom="0.75" footer="0.0" header="0.0" left="0.7" right="0.7" top="0.75"/>
  <pageSetup orientation="landscape"/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2.0"/>
    <col customWidth="1" min="2" max="2" width="52.56"/>
    <col customWidth="1" min="3" max="3" width="77.0"/>
    <col customWidth="1" min="4" max="4" width="17.33"/>
    <col customWidth="1" min="5" max="5" width="23.89"/>
    <col customWidth="1" min="6" max="24" width="6.78"/>
  </cols>
  <sheetData>
    <row r="1" ht="16.5" customHeight="1">
      <c r="A1" s="1" t="s">
        <v>0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ht="16.5" customHeight="1">
      <c r="A2" s="11" t="s">
        <v>4</v>
      </c>
      <c r="B2" s="11" t="s">
        <v>5</v>
      </c>
      <c r="C2" s="13" t="s">
        <v>7</v>
      </c>
      <c r="D2" s="13" t="s">
        <v>8</v>
      </c>
      <c r="E2" s="13" t="s">
        <v>9</v>
      </c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</row>
    <row r="3" ht="138.75" customHeight="1">
      <c r="A3" s="16" t="s">
        <v>189</v>
      </c>
      <c r="B3" s="19" t="str">
        <f>HYPERLINK("https://zh-tw.facebook.com/baby29238352/","電話：02-2923-8352
地址：新北市永和區國光路116巷17號
網站：https://zh-tw.facebook.com/baby29238352/
")</f>
        <v>電話：02-2923-8352
地址：新北市永和區國光路116巷17號
網站：https://zh-tw.facebook.com/baby29238352/
</v>
      </c>
      <c r="C3" s="182" t="s">
        <v>190</v>
      </c>
      <c r="D3" s="61">
        <v>46965.0</v>
      </c>
      <c r="E3" s="59" t="s">
        <v>68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</row>
    <row r="4" ht="147.0" customHeight="1">
      <c r="A4" s="16" t="s">
        <v>191</v>
      </c>
      <c r="B4" s="19" t="s">
        <v>192</v>
      </c>
      <c r="C4" s="183" t="s">
        <v>193</v>
      </c>
      <c r="D4" s="136" t="s">
        <v>83</v>
      </c>
      <c r="E4" s="121"/>
      <c r="F4" s="184" t="s">
        <v>69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</row>
    <row r="5" ht="115.5" customHeight="1">
      <c r="A5" s="185" t="s">
        <v>194</v>
      </c>
      <c r="B5" s="186" t="s">
        <v>195</v>
      </c>
      <c r="C5" s="187" t="s">
        <v>196</v>
      </c>
      <c r="D5" s="136" t="s">
        <v>138</v>
      </c>
      <c r="E5" s="154"/>
      <c r="F5" s="188" t="s">
        <v>197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</row>
    <row r="6" ht="171.75" customHeight="1">
      <c r="A6" s="189" t="s">
        <v>198</v>
      </c>
      <c r="B6" s="186" t="s">
        <v>199</v>
      </c>
      <c r="C6" s="190" t="s">
        <v>200</v>
      </c>
      <c r="D6" s="191" t="s">
        <v>138</v>
      </c>
      <c r="E6" s="19" t="str">
        <f>HYPERLINK("https://drive.google.com/file/d/1YE0Vzk0igxejZl0ZAx-tntPvrR6ERanE/view?usp=sharing","申請書連結https://drive.google.com/file/d/1YE0Vzk0igxejZl0ZAx-tntPvrR6ERanE/view?usp=sharing")</f>
        <v>申請書連結https://drive.google.com/file/d/1YE0Vzk0igxejZl0ZAx-tntPvrR6ERanE/view?usp=sharing</v>
      </c>
      <c r="F6" s="175"/>
      <c r="G6" s="175"/>
      <c r="H6" s="175"/>
      <c r="I6" s="188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</row>
    <row r="7" ht="134.25" customHeight="1">
      <c r="A7" s="172" t="s">
        <v>201</v>
      </c>
      <c r="B7" s="115" t="s">
        <v>202</v>
      </c>
      <c r="C7" s="19" t="s">
        <v>203</v>
      </c>
      <c r="D7" s="192">
        <v>46265.0</v>
      </c>
      <c r="E7" s="43" t="s">
        <v>204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</row>
    <row r="8" ht="373.5" customHeight="1">
      <c r="A8" s="193" t="s">
        <v>205</v>
      </c>
      <c r="B8" s="19" t="s">
        <v>206</v>
      </c>
      <c r="C8" s="19" t="s">
        <v>207</v>
      </c>
      <c r="D8" s="194" t="s">
        <v>138</v>
      </c>
      <c r="E8" s="19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</row>
    <row r="9" ht="141.0" customHeight="1">
      <c r="A9" s="172" t="s">
        <v>208</v>
      </c>
      <c r="B9" s="19" t="s">
        <v>209</v>
      </c>
      <c r="C9" s="19" t="s">
        <v>210</v>
      </c>
      <c r="D9" s="196">
        <v>46387.0</v>
      </c>
      <c r="E9" s="23" t="s">
        <v>13</v>
      </c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</row>
    <row r="10" ht="16.5" customHeight="1">
      <c r="A10" s="197"/>
      <c r="B10" s="119"/>
      <c r="C10" s="119"/>
      <c r="D10" s="198"/>
      <c r="E10" s="119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</row>
    <row r="11" ht="16.5" customHeight="1">
      <c r="A11" s="197"/>
      <c r="B11" s="119"/>
      <c r="C11" s="119"/>
      <c r="D11" s="198"/>
      <c r="E11" s="119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</row>
    <row r="12" ht="16.5" customHeight="1">
      <c r="A12" s="197"/>
      <c r="B12" s="119"/>
      <c r="C12" s="119"/>
      <c r="D12" s="198"/>
      <c r="E12" s="119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</row>
    <row r="13" ht="16.5" customHeight="1">
      <c r="A13" s="197"/>
      <c r="B13" s="119"/>
      <c r="C13" s="119"/>
      <c r="D13" s="198"/>
      <c r="E13" s="119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</row>
    <row r="14" ht="16.5" customHeight="1">
      <c r="A14" s="197"/>
      <c r="B14" s="119"/>
      <c r="C14" s="119"/>
      <c r="D14" s="198"/>
      <c r="E14" s="119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</row>
    <row r="15" ht="16.5" customHeight="1">
      <c r="A15" s="197"/>
      <c r="B15" s="119"/>
      <c r="C15" s="119"/>
      <c r="D15" s="198"/>
      <c r="E15" s="119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</row>
    <row r="16" ht="16.5" customHeight="1">
      <c r="A16" s="197"/>
      <c r="B16" s="119"/>
      <c r="C16" s="119"/>
      <c r="D16" s="198"/>
      <c r="E16" s="119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</row>
    <row r="17" ht="16.5" customHeight="1">
      <c r="A17" s="197"/>
      <c r="B17" s="119"/>
      <c r="C17" s="119"/>
      <c r="D17" s="198"/>
      <c r="E17" s="119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</row>
    <row r="18" ht="16.5" customHeight="1">
      <c r="A18" s="197"/>
      <c r="B18" s="119"/>
      <c r="C18" s="119"/>
      <c r="D18" s="198"/>
      <c r="E18" s="119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</row>
    <row r="19" ht="16.5" customHeight="1">
      <c r="A19" s="197"/>
      <c r="B19" s="119"/>
      <c r="C19" s="119"/>
      <c r="D19" s="198"/>
      <c r="E19" s="119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</row>
    <row r="20" ht="16.5" customHeight="1">
      <c r="A20" s="197"/>
      <c r="B20" s="119"/>
      <c r="C20" s="119"/>
      <c r="D20" s="198"/>
      <c r="E20" s="119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</row>
    <row r="21" ht="16.5" customHeight="1">
      <c r="A21" s="197"/>
      <c r="B21" s="119"/>
      <c r="C21" s="119"/>
      <c r="D21" s="198"/>
      <c r="E21" s="119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</row>
    <row r="22" ht="16.5" customHeight="1">
      <c r="A22" s="197"/>
      <c r="B22" s="119"/>
      <c r="C22" s="119"/>
      <c r="D22" s="198"/>
      <c r="E22" s="119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</row>
    <row r="23" ht="16.5" customHeight="1">
      <c r="A23" s="197"/>
      <c r="B23" s="119"/>
      <c r="C23" s="119"/>
      <c r="D23" s="198"/>
      <c r="E23" s="119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</row>
    <row r="24" ht="16.5" customHeight="1">
      <c r="A24" s="197"/>
      <c r="B24" s="119"/>
      <c r="C24" s="119"/>
      <c r="D24" s="198"/>
      <c r="E24" s="119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</row>
    <row r="25" ht="16.5" customHeight="1">
      <c r="A25" s="197"/>
      <c r="B25" s="119"/>
      <c r="C25" s="119"/>
      <c r="D25" s="198"/>
      <c r="E25" s="119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</row>
    <row r="26" ht="16.5" customHeight="1">
      <c r="A26" s="197"/>
      <c r="B26" s="119"/>
      <c r="C26" s="119"/>
      <c r="D26" s="198"/>
      <c r="E26" s="119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</row>
    <row r="27" ht="16.5" customHeight="1">
      <c r="A27" s="197"/>
      <c r="B27" s="119"/>
      <c r="C27" s="119"/>
      <c r="D27" s="198"/>
      <c r="E27" s="119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</row>
    <row r="28" ht="16.5" customHeight="1">
      <c r="A28" s="197"/>
      <c r="B28" s="119"/>
      <c r="C28" s="119"/>
      <c r="D28" s="198"/>
      <c r="E28" s="119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</row>
    <row r="29" ht="16.5" customHeight="1">
      <c r="A29" s="197"/>
      <c r="B29" s="119"/>
      <c r="C29" s="119"/>
      <c r="D29" s="198"/>
      <c r="E29" s="119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</row>
    <row r="30" ht="16.5" customHeight="1">
      <c r="A30" s="197"/>
      <c r="B30" s="119"/>
      <c r="C30" s="119"/>
      <c r="D30" s="198"/>
      <c r="E30" s="119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</row>
    <row r="31" ht="16.5" customHeight="1">
      <c r="A31" s="197"/>
      <c r="B31" s="119"/>
      <c r="C31" s="119"/>
      <c r="D31" s="198"/>
      <c r="E31" s="119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</row>
    <row r="32" ht="16.5" customHeight="1">
      <c r="A32" s="197"/>
      <c r="B32" s="119"/>
      <c r="C32" s="119"/>
      <c r="D32" s="198"/>
      <c r="E32" s="119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</row>
    <row r="33" ht="16.5" customHeight="1">
      <c r="A33" s="197"/>
      <c r="B33" s="119"/>
      <c r="C33" s="119"/>
      <c r="D33" s="198"/>
      <c r="E33" s="119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</row>
    <row r="34" ht="16.5" customHeight="1">
      <c r="A34" s="197"/>
      <c r="B34" s="119"/>
      <c r="C34" s="119"/>
      <c r="D34" s="198"/>
      <c r="E34" s="119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</row>
    <row r="35" ht="16.5" customHeight="1">
      <c r="A35" s="197"/>
      <c r="B35" s="119"/>
      <c r="C35" s="119"/>
      <c r="D35" s="198"/>
      <c r="E35" s="119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</row>
    <row r="36" ht="16.5" customHeight="1">
      <c r="A36" s="197"/>
      <c r="B36" s="119"/>
      <c r="C36" s="119"/>
      <c r="D36" s="198"/>
      <c r="E36" s="119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</row>
    <row r="37" ht="16.5" customHeight="1">
      <c r="A37" s="197"/>
      <c r="B37" s="119"/>
      <c r="C37" s="119"/>
      <c r="D37" s="198"/>
      <c r="E37" s="119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</row>
    <row r="38" ht="16.5" customHeight="1">
      <c r="A38" s="197"/>
      <c r="B38" s="119"/>
      <c r="C38" s="119"/>
      <c r="D38" s="198"/>
      <c r="E38" s="119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</row>
    <row r="39" ht="16.5" customHeight="1">
      <c r="A39" s="197"/>
      <c r="B39" s="119"/>
      <c r="C39" s="119"/>
      <c r="D39" s="198"/>
      <c r="E39" s="119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</row>
    <row r="40" ht="16.5" customHeight="1">
      <c r="A40" s="197"/>
      <c r="B40" s="119"/>
      <c r="C40" s="119"/>
      <c r="D40" s="198"/>
      <c r="E40" s="119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</row>
    <row r="41" ht="16.5" customHeight="1">
      <c r="A41" s="197"/>
      <c r="B41" s="119"/>
      <c r="C41" s="119"/>
      <c r="D41" s="198"/>
      <c r="E41" s="119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</row>
    <row r="42" ht="16.5" customHeight="1">
      <c r="A42" s="197"/>
      <c r="B42" s="119"/>
      <c r="C42" s="119"/>
      <c r="D42" s="198"/>
      <c r="E42" s="119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</row>
    <row r="43" ht="16.5" customHeight="1">
      <c r="A43" s="197"/>
      <c r="B43" s="119"/>
      <c r="C43" s="119"/>
      <c r="D43" s="198"/>
      <c r="E43" s="119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</row>
    <row r="44" ht="16.5" customHeight="1">
      <c r="A44" s="197"/>
      <c r="B44" s="119"/>
      <c r="C44" s="119"/>
      <c r="D44" s="198"/>
      <c r="E44" s="119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</row>
    <row r="45" ht="16.5" customHeight="1">
      <c r="A45" s="197"/>
      <c r="B45" s="119"/>
      <c r="C45" s="119"/>
      <c r="D45" s="198"/>
      <c r="E45" s="119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</row>
    <row r="46" ht="16.5" customHeight="1">
      <c r="A46" s="197"/>
      <c r="B46" s="119"/>
      <c r="C46" s="119"/>
      <c r="D46" s="198"/>
      <c r="E46" s="119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</row>
    <row r="47" ht="16.5" customHeight="1">
      <c r="A47" s="197"/>
      <c r="B47" s="119"/>
      <c r="C47" s="119"/>
      <c r="D47" s="198"/>
      <c r="E47" s="119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 ht="16.5" customHeight="1">
      <c r="A48" s="197"/>
      <c r="B48" s="119"/>
      <c r="C48" s="119"/>
      <c r="D48" s="198"/>
      <c r="E48" s="119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</row>
    <row r="49" ht="16.5" customHeight="1">
      <c r="A49" s="197"/>
      <c r="B49" s="119"/>
      <c r="C49" s="119"/>
      <c r="D49" s="198"/>
      <c r="E49" s="119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</row>
    <row r="50" ht="16.5" customHeight="1">
      <c r="A50" s="197"/>
      <c r="B50" s="119"/>
      <c r="C50" s="119"/>
      <c r="D50" s="198"/>
      <c r="E50" s="119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</row>
    <row r="51" ht="16.5" customHeight="1">
      <c r="A51" s="197"/>
      <c r="B51" s="119"/>
      <c r="C51" s="119"/>
      <c r="D51" s="198"/>
      <c r="E51" s="119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</row>
    <row r="52" ht="16.5" customHeight="1">
      <c r="A52" s="197"/>
      <c r="B52" s="119"/>
      <c r="C52" s="119"/>
      <c r="D52" s="198"/>
      <c r="E52" s="119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</row>
    <row r="53" ht="16.5" customHeight="1">
      <c r="A53" s="197"/>
      <c r="B53" s="119"/>
      <c r="C53" s="119"/>
      <c r="D53" s="198"/>
      <c r="E53" s="119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</row>
    <row r="54" ht="16.5" customHeight="1">
      <c r="A54" s="197"/>
      <c r="B54" s="119"/>
      <c r="C54" s="119"/>
      <c r="D54" s="198"/>
      <c r="E54" s="119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</row>
    <row r="55" ht="16.5" customHeight="1">
      <c r="A55" s="197"/>
      <c r="B55" s="119"/>
      <c r="C55" s="119"/>
      <c r="D55" s="198"/>
      <c r="E55" s="119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</row>
    <row r="56" ht="16.5" customHeight="1">
      <c r="A56" s="197"/>
      <c r="B56" s="119"/>
      <c r="C56" s="119"/>
      <c r="D56" s="198"/>
      <c r="E56" s="119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</row>
    <row r="57" ht="16.5" customHeight="1">
      <c r="A57" s="197"/>
      <c r="B57" s="119"/>
      <c r="C57" s="119"/>
      <c r="D57" s="198"/>
      <c r="E57" s="119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</row>
    <row r="58" ht="16.5" customHeight="1">
      <c r="A58" s="197"/>
      <c r="B58" s="119"/>
      <c r="C58" s="119"/>
      <c r="D58" s="198"/>
      <c r="E58" s="119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</row>
    <row r="59" ht="16.5" customHeight="1">
      <c r="A59" s="197"/>
      <c r="B59" s="119"/>
      <c r="C59" s="119"/>
      <c r="D59" s="198"/>
      <c r="E59" s="119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</row>
    <row r="60" ht="16.5" customHeight="1">
      <c r="A60" s="197"/>
      <c r="B60" s="119"/>
      <c r="C60" s="119"/>
      <c r="D60" s="198"/>
      <c r="E60" s="119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</row>
    <row r="61" ht="16.5" customHeight="1">
      <c r="A61" s="197"/>
      <c r="B61" s="119"/>
      <c r="C61" s="119"/>
      <c r="D61" s="198"/>
      <c r="E61" s="119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</row>
    <row r="62" ht="16.5" customHeight="1">
      <c r="A62" s="197"/>
      <c r="B62" s="119"/>
      <c r="C62" s="119"/>
      <c r="D62" s="198"/>
      <c r="E62" s="119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</row>
    <row r="63" ht="16.5" customHeight="1">
      <c r="A63" s="197"/>
      <c r="B63" s="119"/>
      <c r="C63" s="119"/>
      <c r="D63" s="198"/>
      <c r="E63" s="119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</row>
    <row r="64" ht="16.5" customHeight="1">
      <c r="A64" s="197"/>
      <c r="B64" s="119"/>
      <c r="C64" s="119"/>
      <c r="D64" s="198"/>
      <c r="E64" s="119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</row>
    <row r="65" ht="16.5" customHeight="1">
      <c r="A65" s="197"/>
      <c r="B65" s="119"/>
      <c r="C65" s="119"/>
      <c r="D65" s="198"/>
      <c r="E65" s="119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</row>
    <row r="66" ht="16.5" customHeight="1">
      <c r="A66" s="197"/>
      <c r="B66" s="119"/>
      <c r="C66" s="119"/>
      <c r="D66" s="198"/>
      <c r="E66" s="119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</row>
    <row r="67" ht="16.5" customHeight="1">
      <c r="A67" s="197"/>
      <c r="B67" s="119"/>
      <c r="C67" s="119"/>
      <c r="D67" s="198"/>
      <c r="E67" s="119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</row>
    <row r="68" ht="16.5" customHeight="1">
      <c r="A68" s="197"/>
      <c r="B68" s="119"/>
      <c r="C68" s="119"/>
      <c r="D68" s="198"/>
      <c r="E68" s="119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</row>
    <row r="69" ht="16.5" customHeight="1">
      <c r="A69" s="197"/>
      <c r="B69" s="119"/>
      <c r="C69" s="119"/>
      <c r="D69" s="198"/>
      <c r="E69" s="119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</row>
    <row r="70" ht="16.5" customHeight="1">
      <c r="A70" s="197"/>
      <c r="B70" s="119"/>
      <c r="C70" s="119"/>
      <c r="D70" s="198"/>
      <c r="E70" s="119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</row>
    <row r="71" ht="16.5" customHeight="1">
      <c r="A71" s="197"/>
      <c r="B71" s="119"/>
      <c r="C71" s="119"/>
      <c r="D71" s="198"/>
      <c r="E71" s="119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</row>
    <row r="72" ht="16.5" customHeight="1">
      <c r="A72" s="197"/>
      <c r="B72" s="119"/>
      <c r="C72" s="119"/>
      <c r="D72" s="198"/>
      <c r="E72" s="119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</row>
    <row r="73" ht="16.5" customHeight="1">
      <c r="A73" s="197"/>
      <c r="B73" s="119"/>
      <c r="C73" s="119"/>
      <c r="D73" s="198"/>
      <c r="E73" s="119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</row>
    <row r="74" ht="16.5" customHeight="1">
      <c r="A74" s="197"/>
      <c r="B74" s="119"/>
      <c r="C74" s="119"/>
      <c r="D74" s="198"/>
      <c r="E74" s="119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</row>
    <row r="75" ht="16.5" customHeight="1">
      <c r="A75" s="197"/>
      <c r="B75" s="119"/>
      <c r="C75" s="119"/>
      <c r="D75" s="198"/>
      <c r="E75" s="119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</row>
    <row r="76" ht="16.5" customHeight="1">
      <c r="A76" s="197"/>
      <c r="B76" s="119"/>
      <c r="C76" s="119"/>
      <c r="D76" s="198"/>
      <c r="E76" s="119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</row>
    <row r="77" ht="16.5" customHeight="1">
      <c r="A77" s="197"/>
      <c r="B77" s="119"/>
      <c r="C77" s="119"/>
      <c r="D77" s="198"/>
      <c r="E77" s="119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</row>
    <row r="78" ht="16.5" customHeight="1">
      <c r="A78" s="197"/>
      <c r="B78" s="119"/>
      <c r="C78" s="119"/>
      <c r="D78" s="198"/>
      <c r="E78" s="119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</row>
    <row r="79" ht="16.5" customHeight="1">
      <c r="A79" s="197"/>
      <c r="B79" s="119"/>
      <c r="C79" s="119"/>
      <c r="D79" s="198"/>
      <c r="E79" s="119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</row>
    <row r="80" ht="16.5" customHeight="1">
      <c r="A80" s="197"/>
      <c r="B80" s="119"/>
      <c r="C80" s="119"/>
      <c r="D80" s="198"/>
      <c r="E80" s="119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  <row r="81" ht="16.5" customHeight="1">
      <c r="A81" s="197"/>
      <c r="B81" s="119"/>
      <c r="C81" s="119"/>
      <c r="D81" s="198"/>
      <c r="E81" s="119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</row>
    <row r="82" ht="16.5" customHeight="1">
      <c r="A82" s="197"/>
      <c r="B82" s="119"/>
      <c r="C82" s="119"/>
      <c r="D82" s="198"/>
      <c r="E82" s="119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</row>
    <row r="83" ht="16.5" customHeight="1">
      <c r="A83" s="197"/>
      <c r="B83" s="119"/>
      <c r="C83" s="119"/>
      <c r="D83" s="198"/>
      <c r="E83" s="119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</row>
    <row r="84" ht="16.5" customHeight="1">
      <c r="A84" s="197"/>
      <c r="B84" s="119"/>
      <c r="C84" s="119"/>
      <c r="D84" s="198"/>
      <c r="E84" s="119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</row>
    <row r="85" ht="16.5" customHeight="1">
      <c r="A85" s="197"/>
      <c r="B85" s="119"/>
      <c r="C85" s="119"/>
      <c r="D85" s="198"/>
      <c r="E85" s="119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</row>
    <row r="86" ht="16.5" customHeight="1">
      <c r="A86" s="197"/>
      <c r="B86" s="119"/>
      <c r="C86" s="119"/>
      <c r="D86" s="198"/>
      <c r="E86" s="119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</row>
    <row r="87" ht="16.5" customHeight="1">
      <c r="A87" s="197"/>
      <c r="B87" s="119"/>
      <c r="C87" s="119"/>
      <c r="D87" s="198"/>
      <c r="E87" s="119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</row>
    <row r="88" ht="16.5" customHeight="1">
      <c r="A88" s="197"/>
      <c r="B88" s="119"/>
      <c r="C88" s="119"/>
      <c r="D88" s="198"/>
      <c r="E88" s="119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</row>
    <row r="89" ht="16.5" customHeight="1">
      <c r="A89" s="197"/>
      <c r="B89" s="119"/>
      <c r="C89" s="119"/>
      <c r="D89" s="198"/>
      <c r="E89" s="119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</row>
    <row r="90" ht="16.5" customHeight="1">
      <c r="A90" s="197"/>
      <c r="B90" s="119"/>
      <c r="C90" s="119"/>
      <c r="D90" s="198"/>
      <c r="E90" s="119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</row>
    <row r="91" ht="16.5" customHeight="1">
      <c r="A91" s="197"/>
      <c r="B91" s="119"/>
      <c r="C91" s="119"/>
      <c r="D91" s="198"/>
      <c r="E91" s="119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</row>
    <row r="92" ht="16.5" customHeight="1">
      <c r="A92" s="197"/>
      <c r="B92" s="119"/>
      <c r="C92" s="119"/>
      <c r="D92" s="198"/>
      <c r="E92" s="119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</row>
    <row r="93" ht="16.5" customHeight="1">
      <c r="A93" s="197"/>
      <c r="B93" s="119"/>
      <c r="C93" s="119"/>
      <c r="D93" s="198"/>
      <c r="E93" s="119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</row>
    <row r="94" ht="16.5" customHeight="1">
      <c r="A94" s="197"/>
      <c r="B94" s="119"/>
      <c r="C94" s="119"/>
      <c r="D94" s="198"/>
      <c r="E94" s="119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</row>
    <row r="95" ht="16.5" customHeight="1">
      <c r="A95" s="197"/>
      <c r="B95" s="119"/>
      <c r="C95" s="119"/>
      <c r="D95" s="198"/>
      <c r="E95" s="119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</row>
    <row r="96" ht="16.5" customHeight="1">
      <c r="A96" s="197"/>
      <c r="B96" s="119"/>
      <c r="C96" s="119"/>
      <c r="D96" s="198"/>
      <c r="E96" s="119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</row>
    <row r="97" ht="16.5" customHeight="1">
      <c r="A97" s="197"/>
      <c r="B97" s="119"/>
      <c r="C97" s="119"/>
      <c r="D97" s="198"/>
      <c r="E97" s="119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</row>
    <row r="98" ht="16.5" customHeight="1">
      <c r="A98" s="197"/>
      <c r="B98" s="119"/>
      <c r="C98" s="119"/>
      <c r="D98" s="198"/>
      <c r="E98" s="119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</row>
    <row r="99" ht="16.5" customHeight="1">
      <c r="A99" s="197"/>
      <c r="B99" s="119"/>
      <c r="C99" s="119"/>
      <c r="D99" s="198"/>
      <c r="E99" s="119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</row>
    <row r="100" ht="16.5" customHeight="1">
      <c r="A100" s="197"/>
      <c r="B100" s="119"/>
      <c r="C100" s="119"/>
      <c r="D100" s="198"/>
      <c r="E100" s="119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</row>
    <row r="101" ht="16.5" customHeight="1">
      <c r="A101" s="197"/>
      <c r="B101" s="119"/>
      <c r="C101" s="119"/>
      <c r="D101" s="198"/>
      <c r="E101" s="119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</row>
    <row r="102" ht="16.5" customHeight="1">
      <c r="A102" s="197"/>
      <c r="B102" s="119"/>
      <c r="C102" s="119"/>
      <c r="D102" s="198"/>
      <c r="E102" s="119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</row>
    <row r="103" ht="16.5" customHeight="1">
      <c r="A103" s="197"/>
      <c r="B103" s="119"/>
      <c r="C103" s="119"/>
      <c r="D103" s="198"/>
      <c r="E103" s="119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</row>
    <row r="104" ht="16.5" customHeight="1">
      <c r="A104" s="197"/>
      <c r="B104" s="119"/>
      <c r="C104" s="119"/>
      <c r="D104" s="198"/>
      <c r="E104" s="119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</row>
    <row r="105" ht="16.5" customHeight="1">
      <c r="A105" s="197"/>
      <c r="B105" s="119"/>
      <c r="C105" s="119"/>
      <c r="D105" s="198"/>
      <c r="E105" s="119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</row>
    <row r="106" ht="16.5" customHeight="1">
      <c r="A106" s="197"/>
      <c r="B106" s="119"/>
      <c r="C106" s="119"/>
      <c r="D106" s="198"/>
      <c r="E106" s="119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</row>
    <row r="107" ht="16.5" customHeight="1">
      <c r="A107" s="197"/>
      <c r="B107" s="119"/>
      <c r="C107" s="119"/>
      <c r="D107" s="198"/>
      <c r="E107" s="119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</row>
    <row r="108" ht="16.5" customHeight="1">
      <c r="A108" s="197"/>
      <c r="B108" s="119"/>
      <c r="C108" s="119"/>
      <c r="D108" s="198"/>
      <c r="E108" s="119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</row>
    <row r="109" ht="16.5" customHeight="1">
      <c r="A109" s="197"/>
      <c r="B109" s="119"/>
      <c r="C109" s="119"/>
      <c r="D109" s="198"/>
      <c r="E109" s="119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</row>
    <row r="110" ht="16.5" customHeight="1">
      <c r="A110" s="197"/>
      <c r="B110" s="119"/>
      <c r="C110" s="119"/>
      <c r="D110" s="198"/>
      <c r="E110" s="119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</row>
    <row r="111" ht="16.5" customHeight="1">
      <c r="A111" s="197"/>
      <c r="B111" s="119"/>
      <c r="C111" s="119"/>
      <c r="D111" s="198"/>
      <c r="E111" s="119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</row>
    <row r="112" ht="16.5" customHeight="1">
      <c r="A112" s="197"/>
      <c r="B112" s="119"/>
      <c r="C112" s="119"/>
      <c r="D112" s="198"/>
      <c r="E112" s="119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</row>
    <row r="113" ht="16.5" customHeight="1">
      <c r="A113" s="197"/>
      <c r="B113" s="119"/>
      <c r="C113" s="119"/>
      <c r="D113" s="198"/>
      <c r="E113" s="119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</row>
    <row r="114" ht="16.5" customHeight="1">
      <c r="A114" s="197"/>
      <c r="B114" s="119"/>
      <c r="C114" s="119"/>
      <c r="D114" s="198"/>
      <c r="E114" s="119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</row>
    <row r="115" ht="16.5" customHeight="1">
      <c r="A115" s="197"/>
      <c r="B115" s="119"/>
      <c r="C115" s="119"/>
      <c r="D115" s="198"/>
      <c r="E115" s="119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</row>
    <row r="116" ht="16.5" customHeight="1">
      <c r="A116" s="197"/>
      <c r="B116" s="119"/>
      <c r="C116" s="119"/>
      <c r="D116" s="198"/>
      <c r="E116" s="119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</row>
    <row r="117" ht="16.5" customHeight="1">
      <c r="A117" s="197"/>
      <c r="B117" s="119"/>
      <c r="C117" s="119"/>
      <c r="D117" s="198"/>
      <c r="E117" s="119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</row>
    <row r="118" ht="16.5" customHeight="1">
      <c r="A118" s="197"/>
      <c r="B118" s="119"/>
      <c r="C118" s="119"/>
      <c r="D118" s="198"/>
      <c r="E118" s="119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</row>
    <row r="119" ht="16.5" customHeight="1">
      <c r="A119" s="197"/>
      <c r="B119" s="119"/>
      <c r="C119" s="119"/>
      <c r="D119" s="198"/>
      <c r="E119" s="119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</row>
    <row r="120" ht="16.5" customHeight="1">
      <c r="A120" s="197"/>
      <c r="B120" s="119"/>
      <c r="C120" s="119"/>
      <c r="D120" s="198"/>
      <c r="E120" s="119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</row>
    <row r="121" ht="16.5" customHeight="1">
      <c r="A121" s="197"/>
      <c r="B121" s="119"/>
      <c r="C121" s="119"/>
      <c r="D121" s="198"/>
      <c r="E121" s="119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</row>
    <row r="122" ht="16.5" customHeight="1">
      <c r="A122" s="197"/>
      <c r="B122" s="119"/>
      <c r="C122" s="119"/>
      <c r="D122" s="198"/>
      <c r="E122" s="119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</row>
    <row r="123" ht="16.5" customHeight="1">
      <c r="A123" s="197"/>
      <c r="B123" s="119"/>
      <c r="C123" s="119"/>
      <c r="D123" s="198"/>
      <c r="E123" s="119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</row>
    <row r="124" ht="16.5" customHeight="1">
      <c r="A124" s="197"/>
      <c r="B124" s="119"/>
      <c r="C124" s="119"/>
      <c r="D124" s="198"/>
      <c r="E124" s="119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</row>
    <row r="125" ht="16.5" customHeight="1">
      <c r="A125" s="197"/>
      <c r="B125" s="119"/>
      <c r="C125" s="119"/>
      <c r="D125" s="198"/>
      <c r="E125" s="119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</row>
    <row r="126" ht="16.5" customHeight="1">
      <c r="A126" s="197"/>
      <c r="B126" s="119"/>
      <c r="C126" s="119"/>
      <c r="D126" s="198"/>
      <c r="E126" s="119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</row>
    <row r="127" ht="16.5" customHeight="1">
      <c r="A127" s="197"/>
      <c r="B127" s="119"/>
      <c r="C127" s="119"/>
      <c r="D127" s="198"/>
      <c r="E127" s="119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</row>
    <row r="128" ht="16.5" customHeight="1">
      <c r="A128" s="197"/>
      <c r="B128" s="119"/>
      <c r="C128" s="119"/>
      <c r="D128" s="198"/>
      <c r="E128" s="119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</row>
    <row r="129" ht="16.5" customHeight="1">
      <c r="A129" s="197"/>
      <c r="B129" s="119"/>
      <c r="C129" s="119"/>
      <c r="D129" s="198"/>
      <c r="E129" s="119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</row>
    <row r="130" ht="16.5" customHeight="1">
      <c r="A130" s="197"/>
      <c r="B130" s="119"/>
      <c r="C130" s="119"/>
      <c r="D130" s="198"/>
      <c r="E130" s="119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</row>
    <row r="131" ht="16.5" customHeight="1">
      <c r="A131" s="197"/>
      <c r="B131" s="119"/>
      <c r="C131" s="119"/>
      <c r="D131" s="198"/>
      <c r="E131" s="119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</row>
    <row r="132" ht="16.5" customHeight="1">
      <c r="A132" s="197"/>
      <c r="B132" s="119"/>
      <c r="C132" s="119"/>
      <c r="D132" s="198"/>
      <c r="E132" s="119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</row>
    <row r="133" ht="16.5" customHeight="1">
      <c r="A133" s="197"/>
      <c r="B133" s="119"/>
      <c r="C133" s="119"/>
      <c r="D133" s="198"/>
      <c r="E133" s="119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</row>
    <row r="134" ht="16.5" customHeight="1">
      <c r="A134" s="197"/>
      <c r="B134" s="119"/>
      <c r="C134" s="119"/>
      <c r="D134" s="198"/>
      <c r="E134" s="119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</row>
    <row r="135" ht="16.5" customHeight="1">
      <c r="A135" s="197"/>
      <c r="B135" s="119"/>
      <c r="C135" s="119"/>
      <c r="D135" s="198"/>
      <c r="E135" s="119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</row>
    <row r="136" ht="16.5" customHeight="1">
      <c r="A136" s="197"/>
      <c r="B136" s="119"/>
      <c r="C136" s="119"/>
      <c r="D136" s="198"/>
      <c r="E136" s="119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</row>
    <row r="137" ht="16.5" customHeight="1">
      <c r="A137" s="197"/>
      <c r="B137" s="119"/>
      <c r="C137" s="119"/>
      <c r="D137" s="198"/>
      <c r="E137" s="119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</row>
    <row r="138" ht="16.5" customHeight="1">
      <c r="A138" s="197"/>
      <c r="B138" s="119"/>
      <c r="C138" s="119"/>
      <c r="D138" s="198"/>
      <c r="E138" s="119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</row>
    <row r="139" ht="16.5" customHeight="1">
      <c r="A139" s="197"/>
      <c r="B139" s="119"/>
      <c r="C139" s="119"/>
      <c r="D139" s="198"/>
      <c r="E139" s="119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</row>
    <row r="140" ht="16.5" customHeight="1">
      <c r="A140" s="197"/>
      <c r="B140" s="119"/>
      <c r="C140" s="119"/>
      <c r="D140" s="198"/>
      <c r="E140" s="119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</row>
    <row r="141" ht="16.5" customHeight="1">
      <c r="A141" s="197"/>
      <c r="B141" s="119"/>
      <c r="C141" s="119"/>
      <c r="D141" s="198"/>
      <c r="E141" s="119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</row>
    <row r="142" ht="16.5" customHeight="1">
      <c r="A142" s="197"/>
      <c r="B142" s="119"/>
      <c r="C142" s="119"/>
      <c r="D142" s="198"/>
      <c r="E142" s="119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</row>
    <row r="143" ht="16.5" customHeight="1">
      <c r="A143" s="197"/>
      <c r="B143" s="119"/>
      <c r="C143" s="119"/>
      <c r="D143" s="198"/>
      <c r="E143" s="119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</row>
    <row r="144" ht="16.5" customHeight="1">
      <c r="A144" s="197"/>
      <c r="B144" s="119"/>
      <c r="C144" s="119"/>
      <c r="D144" s="198"/>
      <c r="E144" s="119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</row>
    <row r="145" ht="16.5" customHeight="1">
      <c r="A145" s="197"/>
      <c r="B145" s="119"/>
      <c r="C145" s="119"/>
      <c r="D145" s="198"/>
      <c r="E145" s="119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</row>
    <row r="146" ht="16.5" customHeight="1">
      <c r="A146" s="197"/>
      <c r="B146" s="119"/>
      <c r="C146" s="119"/>
      <c r="D146" s="198"/>
      <c r="E146" s="119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</row>
    <row r="147" ht="16.5" customHeight="1">
      <c r="A147" s="197"/>
      <c r="B147" s="119"/>
      <c r="C147" s="119"/>
      <c r="D147" s="198"/>
      <c r="E147" s="119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</row>
    <row r="148" ht="16.5" customHeight="1">
      <c r="A148" s="197"/>
      <c r="B148" s="119"/>
      <c r="C148" s="119"/>
      <c r="D148" s="198"/>
      <c r="E148" s="119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</row>
    <row r="149" ht="16.5" customHeight="1">
      <c r="A149" s="197"/>
      <c r="B149" s="119"/>
      <c r="C149" s="119"/>
      <c r="D149" s="198"/>
      <c r="E149" s="119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</row>
    <row r="150" ht="16.5" customHeight="1">
      <c r="A150" s="197"/>
      <c r="B150" s="119"/>
      <c r="C150" s="119"/>
      <c r="D150" s="198"/>
      <c r="E150" s="119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</row>
    <row r="151" ht="16.5" customHeight="1">
      <c r="A151" s="197"/>
      <c r="B151" s="119"/>
      <c r="C151" s="119"/>
      <c r="D151" s="198"/>
      <c r="E151" s="119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</row>
    <row r="152" ht="16.5" customHeight="1">
      <c r="A152" s="197"/>
      <c r="B152" s="119"/>
      <c r="C152" s="119"/>
      <c r="D152" s="198"/>
      <c r="E152" s="119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</row>
    <row r="153" ht="16.5" customHeight="1">
      <c r="A153" s="197"/>
      <c r="B153" s="119"/>
      <c r="C153" s="119"/>
      <c r="D153" s="198"/>
      <c r="E153" s="119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</row>
    <row r="154" ht="16.5" customHeight="1">
      <c r="A154" s="197"/>
      <c r="B154" s="119"/>
      <c r="C154" s="119"/>
      <c r="D154" s="198"/>
      <c r="E154" s="119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</row>
    <row r="155" ht="16.5" customHeight="1">
      <c r="A155" s="197"/>
      <c r="B155" s="119"/>
      <c r="C155" s="119"/>
      <c r="D155" s="198"/>
      <c r="E155" s="119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</row>
    <row r="156" ht="16.5" customHeight="1">
      <c r="A156" s="197"/>
      <c r="B156" s="119"/>
      <c r="C156" s="119"/>
      <c r="D156" s="198"/>
      <c r="E156" s="119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</row>
    <row r="157" ht="16.5" customHeight="1">
      <c r="A157" s="197"/>
      <c r="B157" s="119"/>
      <c r="C157" s="119"/>
      <c r="D157" s="198"/>
      <c r="E157" s="119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</row>
    <row r="158" ht="16.5" customHeight="1">
      <c r="A158" s="197"/>
      <c r="B158" s="119"/>
      <c r="C158" s="119"/>
      <c r="D158" s="198"/>
      <c r="E158" s="119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</row>
    <row r="159" ht="16.5" customHeight="1">
      <c r="A159" s="197"/>
      <c r="B159" s="119"/>
      <c r="C159" s="119"/>
      <c r="D159" s="198"/>
      <c r="E159" s="119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</row>
    <row r="160" ht="16.5" customHeight="1">
      <c r="A160" s="197"/>
      <c r="B160" s="119"/>
      <c r="C160" s="119"/>
      <c r="D160" s="198"/>
      <c r="E160" s="119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</row>
    <row r="161" ht="16.5" customHeight="1">
      <c r="A161" s="197"/>
      <c r="B161" s="119"/>
      <c r="C161" s="119"/>
      <c r="D161" s="198"/>
      <c r="E161" s="119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</row>
    <row r="162" ht="16.5" customHeight="1">
      <c r="A162" s="197"/>
      <c r="B162" s="119"/>
      <c r="C162" s="119"/>
      <c r="D162" s="198"/>
      <c r="E162" s="119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</row>
    <row r="163" ht="16.5" customHeight="1">
      <c r="A163" s="197"/>
      <c r="B163" s="119"/>
      <c r="C163" s="119"/>
      <c r="D163" s="198"/>
      <c r="E163" s="119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</row>
    <row r="164" ht="16.5" customHeight="1">
      <c r="A164" s="197"/>
      <c r="B164" s="119"/>
      <c r="C164" s="119"/>
      <c r="D164" s="198"/>
      <c r="E164" s="119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</row>
    <row r="165" ht="16.5" customHeight="1">
      <c r="A165" s="197"/>
      <c r="B165" s="119"/>
      <c r="C165" s="119"/>
      <c r="D165" s="198"/>
      <c r="E165" s="119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</row>
    <row r="166" ht="16.5" customHeight="1">
      <c r="A166" s="197"/>
      <c r="B166" s="119"/>
      <c r="C166" s="119"/>
      <c r="D166" s="198"/>
      <c r="E166" s="119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</row>
    <row r="167" ht="16.5" customHeight="1">
      <c r="A167" s="197"/>
      <c r="B167" s="119"/>
      <c r="C167" s="119"/>
      <c r="D167" s="198"/>
      <c r="E167" s="119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</row>
    <row r="168" ht="16.5" customHeight="1">
      <c r="A168" s="197"/>
      <c r="B168" s="119"/>
      <c r="C168" s="119"/>
      <c r="D168" s="198"/>
      <c r="E168" s="119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</row>
    <row r="169" ht="16.5" customHeight="1">
      <c r="A169" s="197"/>
      <c r="B169" s="119"/>
      <c r="C169" s="119"/>
      <c r="D169" s="198"/>
      <c r="E169" s="119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</row>
    <row r="170" ht="16.5" customHeight="1">
      <c r="A170" s="197"/>
      <c r="B170" s="119"/>
      <c r="C170" s="119"/>
      <c r="D170" s="198"/>
      <c r="E170" s="119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</row>
    <row r="171" ht="16.5" customHeight="1">
      <c r="A171" s="197"/>
      <c r="B171" s="119"/>
      <c r="C171" s="119"/>
      <c r="D171" s="198"/>
      <c r="E171" s="119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</row>
    <row r="172" ht="16.5" customHeight="1">
      <c r="A172" s="197"/>
      <c r="B172" s="119"/>
      <c r="C172" s="119"/>
      <c r="D172" s="198"/>
      <c r="E172" s="119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</row>
    <row r="173" ht="16.5" customHeight="1">
      <c r="A173" s="197"/>
      <c r="B173" s="119"/>
      <c r="C173" s="119"/>
      <c r="D173" s="198"/>
      <c r="E173" s="119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</row>
    <row r="174" ht="16.5" customHeight="1">
      <c r="A174" s="197"/>
      <c r="B174" s="119"/>
      <c r="C174" s="119"/>
      <c r="D174" s="198"/>
      <c r="E174" s="119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</row>
    <row r="175" ht="16.5" customHeight="1">
      <c r="A175" s="197"/>
      <c r="B175" s="119"/>
      <c r="C175" s="119"/>
      <c r="D175" s="198"/>
      <c r="E175" s="119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</row>
    <row r="176" ht="16.5" customHeight="1">
      <c r="A176" s="197"/>
      <c r="B176" s="119"/>
      <c r="C176" s="119"/>
      <c r="D176" s="198"/>
      <c r="E176" s="119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</row>
    <row r="177" ht="16.5" customHeight="1">
      <c r="A177" s="197"/>
      <c r="B177" s="119"/>
      <c r="C177" s="119"/>
      <c r="D177" s="198"/>
      <c r="E177" s="119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</row>
    <row r="178" ht="16.5" customHeight="1">
      <c r="A178" s="197"/>
      <c r="B178" s="119"/>
      <c r="C178" s="119"/>
      <c r="D178" s="198"/>
      <c r="E178" s="119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</row>
    <row r="179" ht="16.5" customHeight="1">
      <c r="A179" s="197"/>
      <c r="B179" s="119"/>
      <c r="C179" s="119"/>
      <c r="D179" s="198"/>
      <c r="E179" s="119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</row>
    <row r="180" ht="16.5" customHeight="1">
      <c r="A180" s="197"/>
      <c r="B180" s="119"/>
      <c r="C180" s="119"/>
      <c r="D180" s="198"/>
      <c r="E180" s="119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</row>
    <row r="181" ht="16.5" customHeight="1">
      <c r="A181" s="197"/>
      <c r="B181" s="119"/>
      <c r="C181" s="119"/>
      <c r="D181" s="198"/>
      <c r="E181" s="119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</row>
    <row r="182" ht="16.5" customHeight="1">
      <c r="A182" s="197"/>
      <c r="B182" s="119"/>
      <c r="C182" s="119"/>
      <c r="D182" s="198"/>
      <c r="E182" s="119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</row>
    <row r="183" ht="16.5" customHeight="1">
      <c r="A183" s="197"/>
      <c r="B183" s="119"/>
      <c r="C183" s="119"/>
      <c r="D183" s="198"/>
      <c r="E183" s="119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</row>
    <row r="184" ht="16.5" customHeight="1">
      <c r="A184" s="197"/>
      <c r="B184" s="119"/>
      <c r="C184" s="119"/>
      <c r="D184" s="198"/>
      <c r="E184" s="119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</row>
    <row r="185" ht="16.5" customHeight="1">
      <c r="A185" s="197"/>
      <c r="B185" s="119"/>
      <c r="C185" s="119"/>
      <c r="D185" s="198"/>
      <c r="E185" s="119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</row>
    <row r="186" ht="16.5" customHeight="1">
      <c r="A186" s="197"/>
      <c r="B186" s="119"/>
      <c r="C186" s="119"/>
      <c r="D186" s="198"/>
      <c r="E186" s="119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</row>
    <row r="187" ht="16.5" customHeight="1">
      <c r="A187" s="197"/>
      <c r="B187" s="119"/>
      <c r="C187" s="119"/>
      <c r="D187" s="198"/>
      <c r="E187" s="119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</row>
    <row r="188" ht="16.5" customHeight="1">
      <c r="A188" s="197"/>
      <c r="B188" s="119"/>
      <c r="C188" s="119"/>
      <c r="D188" s="198"/>
      <c r="E188" s="119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</row>
    <row r="189" ht="16.5" customHeight="1">
      <c r="A189" s="197"/>
      <c r="B189" s="119"/>
      <c r="C189" s="119"/>
      <c r="D189" s="198"/>
      <c r="E189" s="119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</row>
    <row r="190" ht="16.5" customHeight="1">
      <c r="A190" s="197"/>
      <c r="B190" s="119"/>
      <c r="C190" s="119"/>
      <c r="D190" s="198"/>
      <c r="E190" s="119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</row>
    <row r="191" ht="16.5" customHeight="1">
      <c r="A191" s="197"/>
      <c r="B191" s="119"/>
      <c r="C191" s="119"/>
      <c r="D191" s="198"/>
      <c r="E191" s="119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</row>
    <row r="192" ht="16.5" customHeight="1">
      <c r="A192" s="197"/>
      <c r="B192" s="119"/>
      <c r="C192" s="119"/>
      <c r="D192" s="198"/>
      <c r="E192" s="119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</row>
    <row r="193" ht="16.5" customHeight="1">
      <c r="A193" s="197"/>
      <c r="B193" s="119"/>
      <c r="C193" s="119"/>
      <c r="D193" s="198"/>
      <c r="E193" s="119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</row>
    <row r="194" ht="16.5" customHeight="1">
      <c r="A194" s="197"/>
      <c r="B194" s="119"/>
      <c r="C194" s="119"/>
      <c r="D194" s="198"/>
      <c r="E194" s="119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</row>
    <row r="195" ht="16.5" customHeight="1">
      <c r="A195" s="197"/>
      <c r="B195" s="119"/>
      <c r="C195" s="119"/>
      <c r="D195" s="198"/>
      <c r="E195" s="119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</row>
    <row r="196" ht="16.5" customHeight="1">
      <c r="A196" s="197"/>
      <c r="B196" s="119"/>
      <c r="C196" s="119"/>
      <c r="D196" s="198"/>
      <c r="E196" s="119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</row>
    <row r="197" ht="16.5" customHeight="1">
      <c r="A197" s="197"/>
      <c r="B197" s="119"/>
      <c r="C197" s="119"/>
      <c r="D197" s="198"/>
      <c r="E197" s="119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</row>
    <row r="198" ht="16.5" customHeight="1">
      <c r="A198" s="197"/>
      <c r="B198" s="119"/>
      <c r="C198" s="119"/>
      <c r="D198" s="198"/>
      <c r="E198" s="119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</row>
    <row r="199" ht="16.5" customHeight="1">
      <c r="A199" s="197"/>
      <c r="B199" s="119"/>
      <c r="C199" s="119"/>
      <c r="D199" s="198"/>
      <c r="E199" s="119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</row>
    <row r="200" ht="16.5" customHeight="1">
      <c r="A200" s="197"/>
      <c r="B200" s="119"/>
      <c r="C200" s="119"/>
      <c r="D200" s="198"/>
      <c r="E200" s="119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</row>
    <row r="201" ht="16.5" customHeight="1">
      <c r="A201" s="197"/>
      <c r="B201" s="119"/>
      <c r="C201" s="119"/>
      <c r="D201" s="198"/>
      <c r="E201" s="119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</row>
    <row r="202" ht="16.5" customHeight="1">
      <c r="A202" s="197"/>
      <c r="B202" s="119"/>
      <c r="C202" s="119"/>
      <c r="D202" s="198"/>
      <c r="E202" s="119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</row>
    <row r="203" ht="16.5" customHeight="1">
      <c r="A203" s="197"/>
      <c r="B203" s="119"/>
      <c r="C203" s="119"/>
      <c r="D203" s="198"/>
      <c r="E203" s="119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</row>
    <row r="204" ht="16.5" customHeight="1">
      <c r="A204" s="197"/>
      <c r="B204" s="119"/>
      <c r="C204" s="119"/>
      <c r="D204" s="198"/>
      <c r="E204" s="119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</row>
    <row r="205" ht="16.5" customHeight="1">
      <c r="A205" s="197"/>
      <c r="B205" s="119"/>
      <c r="C205" s="119"/>
      <c r="D205" s="198"/>
      <c r="E205" s="119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</row>
    <row r="206" ht="16.5" customHeight="1">
      <c r="A206" s="197"/>
      <c r="B206" s="119"/>
      <c r="C206" s="119"/>
      <c r="D206" s="198"/>
      <c r="E206" s="119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</row>
    <row r="207" ht="16.5" customHeight="1">
      <c r="A207" s="197"/>
      <c r="B207" s="119"/>
      <c r="C207" s="119"/>
      <c r="D207" s="198"/>
      <c r="E207" s="119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</row>
    <row r="208" ht="16.5" customHeight="1">
      <c r="A208" s="197"/>
      <c r="B208" s="119"/>
      <c r="C208" s="119"/>
      <c r="D208" s="198"/>
      <c r="E208" s="119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</row>
    <row r="209" ht="16.5" customHeight="1">
      <c r="A209" s="197"/>
      <c r="B209" s="119"/>
      <c r="C209" s="119"/>
      <c r="D209" s="198"/>
      <c r="E209" s="119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</row>
    <row r="210" ht="16.5" customHeight="1">
      <c r="A210" s="197"/>
      <c r="B210" s="119"/>
      <c r="C210" s="119"/>
      <c r="D210" s="198"/>
      <c r="E210" s="119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</row>
    <row r="211" ht="16.5" customHeight="1">
      <c r="A211" s="197"/>
      <c r="B211" s="119"/>
      <c r="C211" s="119"/>
      <c r="D211" s="198"/>
      <c r="E211" s="119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</row>
    <row r="212" ht="16.5" customHeight="1">
      <c r="A212" s="197"/>
      <c r="B212" s="119"/>
      <c r="C212" s="119"/>
      <c r="D212" s="198"/>
      <c r="E212" s="119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</row>
    <row r="213" ht="16.5" customHeight="1">
      <c r="A213" s="197"/>
      <c r="B213" s="119"/>
      <c r="C213" s="119"/>
      <c r="D213" s="198"/>
      <c r="E213" s="119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</row>
    <row r="214" ht="16.5" customHeight="1">
      <c r="A214" s="197"/>
      <c r="B214" s="119"/>
      <c r="C214" s="119"/>
      <c r="D214" s="198"/>
      <c r="E214" s="119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</row>
    <row r="215" ht="16.5" customHeight="1">
      <c r="A215" s="197"/>
      <c r="B215" s="119"/>
      <c r="C215" s="119"/>
      <c r="D215" s="198"/>
      <c r="E215" s="119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</row>
    <row r="216" ht="16.5" customHeight="1">
      <c r="A216" s="197"/>
      <c r="B216" s="119"/>
      <c r="C216" s="119"/>
      <c r="D216" s="198"/>
      <c r="E216" s="119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</row>
    <row r="217" ht="16.5" customHeight="1">
      <c r="A217" s="197"/>
      <c r="B217" s="119"/>
      <c r="C217" s="119"/>
      <c r="D217" s="198"/>
      <c r="E217" s="119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</row>
    <row r="218" ht="16.5" customHeight="1">
      <c r="A218" s="197"/>
      <c r="B218" s="119"/>
      <c r="C218" s="119"/>
      <c r="D218" s="198"/>
      <c r="E218" s="119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</row>
    <row r="219" ht="16.5" customHeight="1">
      <c r="A219" s="197"/>
      <c r="B219" s="119"/>
      <c r="C219" s="119"/>
      <c r="D219" s="198"/>
      <c r="E219" s="119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</row>
    <row r="220" ht="16.5" customHeight="1">
      <c r="A220" s="197"/>
      <c r="B220" s="119"/>
      <c r="C220" s="119"/>
      <c r="D220" s="198"/>
      <c r="E220" s="119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</row>
    <row r="221" ht="16.5" customHeight="1">
      <c r="A221" s="197"/>
      <c r="B221" s="119"/>
      <c r="C221" s="119"/>
      <c r="D221" s="198"/>
      <c r="E221" s="119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</row>
    <row r="222" ht="16.5" customHeight="1">
      <c r="A222" s="197"/>
      <c r="B222" s="119"/>
      <c r="C222" s="119"/>
      <c r="D222" s="198"/>
      <c r="E222" s="119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</row>
    <row r="223" ht="16.5" customHeight="1">
      <c r="A223" s="197"/>
      <c r="B223" s="119"/>
      <c r="C223" s="119"/>
      <c r="D223" s="198"/>
      <c r="E223" s="119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</row>
    <row r="224" ht="16.5" customHeight="1">
      <c r="A224" s="197"/>
      <c r="B224" s="119"/>
      <c r="C224" s="119"/>
      <c r="D224" s="198"/>
      <c r="E224" s="119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</row>
    <row r="225" ht="16.5" customHeight="1">
      <c r="A225" s="197"/>
      <c r="B225" s="119"/>
      <c r="C225" s="119"/>
      <c r="D225" s="198"/>
      <c r="E225" s="119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</row>
    <row r="226" ht="16.5" customHeight="1">
      <c r="A226" s="197"/>
      <c r="B226" s="119"/>
      <c r="C226" s="119"/>
      <c r="D226" s="198"/>
      <c r="E226" s="119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</row>
    <row r="227" ht="16.5" customHeight="1">
      <c r="A227" s="197"/>
      <c r="B227" s="119"/>
      <c r="C227" s="119"/>
      <c r="D227" s="198"/>
      <c r="E227" s="119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</row>
    <row r="228" ht="16.5" customHeight="1">
      <c r="A228" s="197"/>
      <c r="B228" s="119"/>
      <c r="C228" s="119"/>
      <c r="D228" s="198"/>
      <c r="E228" s="119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</row>
    <row r="229" ht="16.5" customHeight="1">
      <c r="A229" s="197"/>
      <c r="B229" s="119"/>
      <c r="C229" s="119"/>
      <c r="D229" s="198"/>
      <c r="E229" s="119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</row>
    <row r="230" ht="16.5" customHeight="1">
      <c r="A230" s="197"/>
      <c r="B230" s="119"/>
      <c r="C230" s="119"/>
      <c r="D230" s="198"/>
      <c r="E230" s="119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</row>
    <row r="231" ht="16.5" customHeight="1">
      <c r="A231" s="197"/>
      <c r="B231" s="119"/>
      <c r="C231" s="119"/>
      <c r="D231" s="198"/>
      <c r="E231" s="119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</row>
    <row r="232" ht="16.5" customHeight="1">
      <c r="A232" s="197"/>
      <c r="B232" s="119"/>
      <c r="C232" s="119"/>
      <c r="D232" s="198"/>
      <c r="E232" s="119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</row>
    <row r="233" ht="16.5" customHeight="1">
      <c r="A233" s="197"/>
      <c r="B233" s="119"/>
      <c r="C233" s="119"/>
      <c r="D233" s="198"/>
      <c r="E233" s="119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</row>
    <row r="234" ht="16.5" customHeight="1">
      <c r="A234" s="197"/>
      <c r="B234" s="119"/>
      <c r="C234" s="119"/>
      <c r="D234" s="198"/>
      <c r="E234" s="119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</row>
    <row r="235" ht="16.5" customHeight="1">
      <c r="A235" s="197"/>
      <c r="B235" s="119"/>
      <c r="C235" s="119"/>
      <c r="D235" s="198"/>
      <c r="E235" s="119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</row>
    <row r="236" ht="16.5" customHeight="1">
      <c r="A236" s="197"/>
      <c r="B236" s="119"/>
      <c r="C236" s="119"/>
      <c r="D236" s="198"/>
      <c r="E236" s="119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</row>
    <row r="237" ht="16.5" customHeight="1">
      <c r="A237" s="197"/>
      <c r="B237" s="119"/>
      <c r="C237" s="119"/>
      <c r="D237" s="198"/>
      <c r="E237" s="119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</row>
    <row r="238" ht="16.5" customHeight="1">
      <c r="A238" s="197"/>
      <c r="B238" s="119"/>
      <c r="C238" s="119"/>
      <c r="D238" s="198"/>
      <c r="E238" s="119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</row>
    <row r="239" ht="16.5" customHeight="1">
      <c r="A239" s="197"/>
      <c r="B239" s="119"/>
      <c r="C239" s="119"/>
      <c r="D239" s="198"/>
      <c r="E239" s="119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</row>
    <row r="240" ht="16.5" customHeight="1">
      <c r="A240" s="197"/>
      <c r="B240" s="119"/>
      <c r="C240" s="119"/>
      <c r="D240" s="198"/>
      <c r="E240" s="119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</row>
    <row r="241" ht="16.5" customHeight="1">
      <c r="A241" s="197"/>
      <c r="B241" s="119"/>
      <c r="C241" s="119"/>
      <c r="D241" s="198"/>
      <c r="E241" s="119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</row>
    <row r="242" ht="16.5" customHeight="1">
      <c r="A242" s="197"/>
      <c r="B242" s="119"/>
      <c r="C242" s="119"/>
      <c r="D242" s="198"/>
      <c r="E242" s="119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</row>
    <row r="243" ht="16.5" customHeight="1">
      <c r="A243" s="197"/>
      <c r="B243" s="119"/>
      <c r="C243" s="119"/>
      <c r="D243" s="198"/>
      <c r="E243" s="119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</row>
    <row r="244" ht="16.5" customHeight="1">
      <c r="A244" s="197"/>
      <c r="B244" s="119"/>
      <c r="C244" s="119"/>
      <c r="D244" s="198"/>
      <c r="E244" s="119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</row>
    <row r="245" ht="16.5" customHeight="1">
      <c r="A245" s="197"/>
      <c r="B245" s="119"/>
      <c r="C245" s="119"/>
      <c r="D245" s="198"/>
      <c r="E245" s="119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</row>
    <row r="246" ht="16.5" customHeight="1">
      <c r="A246" s="197"/>
      <c r="B246" s="119"/>
      <c r="C246" s="119"/>
      <c r="D246" s="198"/>
      <c r="E246" s="119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</row>
    <row r="247" ht="16.5" customHeight="1">
      <c r="A247" s="197"/>
      <c r="B247" s="119"/>
      <c r="C247" s="119"/>
      <c r="D247" s="198"/>
      <c r="E247" s="119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</row>
    <row r="248" ht="16.5" customHeight="1">
      <c r="A248" s="197"/>
      <c r="B248" s="119"/>
      <c r="C248" s="119"/>
      <c r="D248" s="198"/>
      <c r="E248" s="119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</row>
    <row r="249" ht="16.5" customHeight="1">
      <c r="A249" s="197"/>
      <c r="B249" s="119"/>
      <c r="C249" s="119"/>
      <c r="D249" s="198"/>
      <c r="E249" s="119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</row>
    <row r="250" ht="16.5" customHeight="1">
      <c r="A250" s="197"/>
      <c r="B250" s="119"/>
      <c r="C250" s="119"/>
      <c r="D250" s="198"/>
      <c r="E250" s="119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</row>
    <row r="251" ht="16.5" customHeight="1">
      <c r="A251" s="197"/>
      <c r="B251" s="119"/>
      <c r="C251" s="119"/>
      <c r="D251" s="198"/>
      <c r="E251" s="119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</row>
    <row r="252" ht="16.5" customHeight="1">
      <c r="A252" s="197"/>
      <c r="B252" s="119"/>
      <c r="C252" s="119"/>
      <c r="D252" s="198"/>
      <c r="E252" s="119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</row>
    <row r="253" ht="16.5" customHeight="1">
      <c r="A253" s="197"/>
      <c r="B253" s="119"/>
      <c r="C253" s="119"/>
      <c r="D253" s="198"/>
      <c r="E253" s="119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</row>
    <row r="254" ht="16.5" customHeight="1">
      <c r="A254" s="197"/>
      <c r="B254" s="119"/>
      <c r="C254" s="119"/>
      <c r="D254" s="198"/>
      <c r="E254" s="119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</row>
    <row r="255" ht="16.5" customHeight="1">
      <c r="A255" s="197"/>
      <c r="B255" s="119"/>
      <c r="C255" s="119"/>
      <c r="D255" s="198"/>
      <c r="E255" s="119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</row>
    <row r="256" ht="16.5" customHeight="1">
      <c r="A256" s="197"/>
      <c r="B256" s="119"/>
      <c r="C256" s="119"/>
      <c r="D256" s="198"/>
      <c r="E256" s="119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</row>
    <row r="257" ht="16.5" customHeight="1">
      <c r="A257" s="197"/>
      <c r="B257" s="119"/>
      <c r="C257" s="119"/>
      <c r="D257" s="198"/>
      <c r="E257" s="119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</row>
    <row r="258" ht="16.5" customHeight="1">
      <c r="A258" s="197"/>
      <c r="B258" s="119"/>
      <c r="C258" s="119"/>
      <c r="D258" s="198"/>
      <c r="E258" s="119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</row>
    <row r="259" ht="16.5" customHeight="1">
      <c r="A259" s="197"/>
      <c r="B259" s="119"/>
      <c r="C259" s="119"/>
      <c r="D259" s="198"/>
      <c r="E259" s="119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</row>
    <row r="260" ht="16.5" customHeight="1">
      <c r="A260" s="197"/>
      <c r="B260" s="119"/>
      <c r="C260" s="119"/>
      <c r="D260" s="198"/>
      <c r="E260" s="119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</row>
    <row r="261" ht="16.5" customHeight="1">
      <c r="A261" s="197"/>
      <c r="B261" s="119"/>
      <c r="C261" s="119"/>
      <c r="D261" s="198"/>
      <c r="E261" s="119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</row>
    <row r="262" ht="16.5" customHeight="1">
      <c r="A262" s="197"/>
      <c r="B262" s="119"/>
      <c r="C262" s="119"/>
      <c r="D262" s="198"/>
      <c r="E262" s="119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</row>
    <row r="263" ht="16.5" customHeight="1">
      <c r="A263" s="197"/>
      <c r="B263" s="119"/>
      <c r="C263" s="119"/>
      <c r="D263" s="198"/>
      <c r="E263" s="119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</row>
    <row r="264" ht="16.5" customHeight="1">
      <c r="A264" s="197"/>
      <c r="B264" s="119"/>
      <c r="C264" s="119"/>
      <c r="D264" s="198"/>
      <c r="E264" s="119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</row>
    <row r="265" ht="16.5" customHeight="1">
      <c r="A265" s="197"/>
      <c r="B265" s="119"/>
      <c r="C265" s="119"/>
      <c r="D265" s="198"/>
      <c r="E265" s="119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</row>
    <row r="266" ht="16.5" customHeight="1">
      <c r="A266" s="197"/>
      <c r="B266" s="119"/>
      <c r="C266" s="119"/>
      <c r="D266" s="198"/>
      <c r="E266" s="119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</row>
    <row r="267" ht="16.5" customHeight="1">
      <c r="A267" s="197"/>
      <c r="B267" s="119"/>
      <c r="C267" s="119"/>
      <c r="D267" s="198"/>
      <c r="E267" s="119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</row>
    <row r="268" ht="16.5" customHeight="1">
      <c r="A268" s="197"/>
      <c r="B268" s="119"/>
      <c r="C268" s="119"/>
      <c r="D268" s="198"/>
      <c r="E268" s="119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</row>
    <row r="269" ht="16.5" customHeight="1">
      <c r="A269" s="197"/>
      <c r="B269" s="119"/>
      <c r="C269" s="119"/>
      <c r="D269" s="198"/>
      <c r="E269" s="119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</row>
    <row r="270" ht="16.5" customHeight="1">
      <c r="A270" s="197"/>
      <c r="B270" s="119"/>
      <c r="C270" s="119"/>
      <c r="D270" s="198"/>
      <c r="E270" s="119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</row>
    <row r="271" ht="16.5" customHeight="1">
      <c r="A271" s="197"/>
      <c r="B271" s="119"/>
      <c r="C271" s="119"/>
      <c r="D271" s="198"/>
      <c r="E271" s="119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</row>
    <row r="272" ht="16.5" customHeight="1">
      <c r="A272" s="197"/>
      <c r="B272" s="119"/>
      <c r="C272" s="119"/>
      <c r="D272" s="198"/>
      <c r="E272" s="119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</row>
    <row r="273" ht="16.5" customHeight="1">
      <c r="A273" s="197"/>
      <c r="B273" s="119"/>
      <c r="C273" s="119"/>
      <c r="D273" s="198"/>
      <c r="E273" s="119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</row>
    <row r="274" ht="16.5" customHeight="1">
      <c r="A274" s="197"/>
      <c r="B274" s="119"/>
      <c r="C274" s="119"/>
      <c r="D274" s="198"/>
      <c r="E274" s="119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</row>
    <row r="275" ht="16.5" customHeight="1">
      <c r="A275" s="197"/>
      <c r="B275" s="119"/>
      <c r="C275" s="119"/>
      <c r="D275" s="198"/>
      <c r="E275" s="119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</row>
    <row r="276" ht="16.5" customHeight="1">
      <c r="A276" s="197"/>
      <c r="B276" s="119"/>
      <c r="C276" s="119"/>
      <c r="D276" s="198"/>
      <c r="E276" s="119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</row>
    <row r="277" ht="16.5" customHeight="1">
      <c r="A277" s="197"/>
      <c r="B277" s="119"/>
      <c r="C277" s="119"/>
      <c r="D277" s="198"/>
      <c r="E277" s="119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</row>
    <row r="278" ht="16.5" customHeight="1">
      <c r="A278" s="197"/>
      <c r="B278" s="119"/>
      <c r="C278" s="119"/>
      <c r="D278" s="198"/>
      <c r="E278" s="119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</row>
    <row r="279" ht="16.5" customHeight="1">
      <c r="A279" s="197"/>
      <c r="B279" s="119"/>
      <c r="C279" s="119"/>
      <c r="D279" s="198"/>
      <c r="E279" s="119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</row>
    <row r="280" ht="16.5" customHeight="1">
      <c r="A280" s="197"/>
      <c r="B280" s="119"/>
      <c r="C280" s="119"/>
      <c r="D280" s="198"/>
      <c r="E280" s="119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</row>
    <row r="281" ht="16.5" customHeight="1">
      <c r="A281" s="197"/>
      <c r="B281" s="119"/>
      <c r="C281" s="119"/>
      <c r="D281" s="198"/>
      <c r="E281" s="119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</row>
    <row r="282" ht="16.5" customHeight="1">
      <c r="A282" s="197"/>
      <c r="B282" s="119"/>
      <c r="C282" s="119"/>
      <c r="D282" s="198"/>
      <c r="E282" s="119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</row>
    <row r="283" ht="16.5" customHeight="1">
      <c r="A283" s="197"/>
      <c r="B283" s="119"/>
      <c r="C283" s="119"/>
      <c r="D283" s="198"/>
      <c r="E283" s="119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</row>
    <row r="284" ht="16.5" customHeight="1">
      <c r="A284" s="197"/>
      <c r="B284" s="119"/>
      <c r="C284" s="119"/>
      <c r="D284" s="198"/>
      <c r="E284" s="119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</row>
    <row r="285" ht="16.5" customHeight="1">
      <c r="A285" s="197"/>
      <c r="B285" s="119"/>
      <c r="C285" s="119"/>
      <c r="D285" s="198"/>
      <c r="E285" s="119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</row>
    <row r="286" ht="16.5" customHeight="1">
      <c r="A286" s="197"/>
      <c r="B286" s="119"/>
      <c r="C286" s="119"/>
      <c r="D286" s="198"/>
      <c r="E286" s="119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</row>
    <row r="287" ht="16.5" customHeight="1">
      <c r="A287" s="197"/>
      <c r="B287" s="119"/>
      <c r="C287" s="119"/>
      <c r="D287" s="198"/>
      <c r="E287" s="119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</row>
    <row r="288" ht="16.5" customHeight="1">
      <c r="A288" s="197"/>
      <c r="B288" s="119"/>
      <c r="C288" s="119"/>
      <c r="D288" s="198"/>
      <c r="E288" s="119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</row>
    <row r="289" ht="16.5" customHeight="1">
      <c r="A289" s="197"/>
      <c r="B289" s="119"/>
      <c r="C289" s="119"/>
      <c r="D289" s="198"/>
      <c r="E289" s="119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</row>
    <row r="290" ht="16.5" customHeight="1">
      <c r="A290" s="197"/>
      <c r="B290" s="119"/>
      <c r="C290" s="119"/>
      <c r="D290" s="198"/>
      <c r="E290" s="119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</row>
    <row r="291" ht="16.5" customHeight="1">
      <c r="A291" s="197"/>
      <c r="B291" s="119"/>
      <c r="C291" s="119"/>
      <c r="D291" s="198"/>
      <c r="E291" s="119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</row>
    <row r="292" ht="16.5" customHeight="1">
      <c r="A292" s="197"/>
      <c r="B292" s="119"/>
      <c r="C292" s="119"/>
      <c r="D292" s="198"/>
      <c r="E292" s="119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</row>
    <row r="293" ht="16.5" customHeight="1">
      <c r="A293" s="197"/>
      <c r="B293" s="119"/>
      <c r="C293" s="119"/>
      <c r="D293" s="198"/>
      <c r="E293" s="119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</row>
    <row r="294" ht="16.5" customHeight="1">
      <c r="A294" s="197"/>
      <c r="B294" s="119"/>
      <c r="C294" s="119"/>
      <c r="D294" s="198"/>
      <c r="E294" s="119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</row>
    <row r="295" ht="16.5" customHeight="1">
      <c r="A295" s="197"/>
      <c r="B295" s="119"/>
      <c r="C295" s="119"/>
      <c r="D295" s="198"/>
      <c r="E295" s="119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</row>
    <row r="296" ht="16.5" customHeight="1">
      <c r="A296" s="197"/>
      <c r="B296" s="119"/>
      <c r="C296" s="119"/>
      <c r="D296" s="198"/>
      <c r="E296" s="119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</row>
    <row r="297" ht="16.5" customHeight="1">
      <c r="A297" s="197"/>
      <c r="B297" s="119"/>
      <c r="C297" s="119"/>
      <c r="D297" s="198"/>
      <c r="E297" s="119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</row>
    <row r="298" ht="16.5" customHeight="1">
      <c r="A298" s="197"/>
      <c r="B298" s="119"/>
      <c r="C298" s="119"/>
      <c r="D298" s="198"/>
      <c r="E298" s="119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</row>
    <row r="299" ht="16.5" customHeight="1">
      <c r="A299" s="197"/>
      <c r="B299" s="119"/>
      <c r="C299" s="119"/>
      <c r="D299" s="198"/>
      <c r="E299" s="119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</row>
    <row r="300" ht="16.5" customHeight="1">
      <c r="A300" s="197"/>
      <c r="B300" s="119"/>
      <c r="C300" s="119"/>
      <c r="D300" s="198"/>
      <c r="E300" s="119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</row>
    <row r="301" ht="16.5" customHeight="1">
      <c r="A301" s="197"/>
      <c r="B301" s="119"/>
      <c r="C301" s="119"/>
      <c r="D301" s="198"/>
      <c r="E301" s="119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</row>
    <row r="302" ht="16.5" customHeight="1">
      <c r="A302" s="197"/>
      <c r="B302" s="119"/>
      <c r="C302" s="119"/>
      <c r="D302" s="198"/>
      <c r="E302" s="119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</row>
    <row r="303" ht="16.5" customHeight="1">
      <c r="A303" s="197"/>
      <c r="B303" s="119"/>
      <c r="C303" s="119"/>
      <c r="D303" s="198"/>
      <c r="E303" s="119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</row>
    <row r="304" ht="16.5" customHeight="1">
      <c r="A304" s="197"/>
      <c r="B304" s="119"/>
      <c r="C304" s="119"/>
      <c r="D304" s="198"/>
      <c r="E304" s="119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</row>
    <row r="305" ht="16.5" customHeight="1">
      <c r="A305" s="197"/>
      <c r="B305" s="119"/>
      <c r="C305" s="119"/>
      <c r="D305" s="198"/>
      <c r="E305" s="119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</row>
    <row r="306" ht="16.5" customHeight="1">
      <c r="A306" s="197"/>
      <c r="B306" s="119"/>
      <c r="C306" s="119"/>
      <c r="D306" s="198"/>
      <c r="E306" s="119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</row>
    <row r="307" ht="16.5" customHeight="1">
      <c r="A307" s="197"/>
      <c r="B307" s="119"/>
      <c r="C307" s="119"/>
      <c r="D307" s="198"/>
      <c r="E307" s="119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</row>
    <row r="308" ht="16.5" customHeight="1">
      <c r="A308" s="197"/>
      <c r="B308" s="119"/>
      <c r="C308" s="119"/>
      <c r="D308" s="198"/>
      <c r="E308" s="119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</row>
    <row r="309" ht="16.5" customHeight="1">
      <c r="A309" s="197"/>
      <c r="B309" s="119"/>
      <c r="C309" s="119"/>
      <c r="D309" s="198"/>
      <c r="E309" s="119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</row>
    <row r="310" ht="16.5" customHeight="1">
      <c r="A310" s="197"/>
      <c r="B310" s="119"/>
      <c r="C310" s="119"/>
      <c r="D310" s="198"/>
      <c r="E310" s="119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</row>
    <row r="311" ht="16.5" customHeight="1">
      <c r="A311" s="197"/>
      <c r="B311" s="119"/>
      <c r="C311" s="119"/>
      <c r="D311" s="198"/>
      <c r="E311" s="119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</row>
    <row r="312" ht="16.5" customHeight="1">
      <c r="A312" s="197"/>
      <c r="B312" s="119"/>
      <c r="C312" s="119"/>
      <c r="D312" s="198"/>
      <c r="E312" s="119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</row>
    <row r="313" ht="16.5" customHeight="1">
      <c r="A313" s="197"/>
      <c r="B313" s="119"/>
      <c r="C313" s="119"/>
      <c r="D313" s="198"/>
      <c r="E313" s="119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</row>
    <row r="314" ht="16.5" customHeight="1">
      <c r="A314" s="197"/>
      <c r="B314" s="119"/>
      <c r="C314" s="119"/>
      <c r="D314" s="198"/>
      <c r="E314" s="119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</row>
    <row r="315" ht="16.5" customHeight="1">
      <c r="A315" s="197"/>
      <c r="B315" s="119"/>
      <c r="C315" s="119"/>
      <c r="D315" s="198"/>
      <c r="E315" s="119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</row>
    <row r="316" ht="16.5" customHeight="1">
      <c r="A316" s="197"/>
      <c r="B316" s="119"/>
      <c r="C316" s="119"/>
      <c r="D316" s="198"/>
      <c r="E316" s="119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</row>
    <row r="317" ht="16.5" customHeight="1">
      <c r="A317" s="197"/>
      <c r="B317" s="119"/>
      <c r="C317" s="119"/>
      <c r="D317" s="198"/>
      <c r="E317" s="119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</row>
    <row r="318" ht="16.5" customHeight="1">
      <c r="A318" s="197"/>
      <c r="B318" s="119"/>
      <c r="C318" s="119"/>
      <c r="D318" s="198"/>
      <c r="E318" s="119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</row>
    <row r="319" ht="16.5" customHeight="1">
      <c r="A319" s="197"/>
      <c r="B319" s="119"/>
      <c r="C319" s="119"/>
      <c r="D319" s="198"/>
      <c r="E319" s="119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</row>
    <row r="320" ht="16.5" customHeight="1">
      <c r="A320" s="197"/>
      <c r="B320" s="119"/>
      <c r="C320" s="119"/>
      <c r="D320" s="198"/>
      <c r="E320" s="119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</row>
    <row r="321" ht="16.5" customHeight="1">
      <c r="A321" s="197"/>
      <c r="B321" s="119"/>
      <c r="C321" s="119"/>
      <c r="D321" s="198"/>
      <c r="E321" s="119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</row>
    <row r="322" ht="16.5" customHeight="1">
      <c r="A322" s="197"/>
      <c r="B322" s="119"/>
      <c r="C322" s="119"/>
      <c r="D322" s="198"/>
      <c r="E322" s="119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</row>
    <row r="323" ht="16.5" customHeight="1">
      <c r="A323" s="197"/>
      <c r="B323" s="119"/>
      <c r="C323" s="119"/>
      <c r="D323" s="198"/>
      <c r="E323" s="119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</row>
    <row r="324" ht="16.5" customHeight="1">
      <c r="A324" s="197"/>
      <c r="B324" s="119"/>
      <c r="C324" s="119"/>
      <c r="D324" s="198"/>
      <c r="E324" s="119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</row>
    <row r="325" ht="16.5" customHeight="1">
      <c r="A325" s="197"/>
      <c r="B325" s="119"/>
      <c r="C325" s="119"/>
      <c r="D325" s="198"/>
      <c r="E325" s="119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</row>
    <row r="326" ht="16.5" customHeight="1">
      <c r="A326" s="197"/>
      <c r="B326" s="119"/>
      <c r="C326" s="119"/>
      <c r="D326" s="198"/>
      <c r="E326" s="119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</row>
    <row r="327" ht="16.5" customHeight="1">
      <c r="A327" s="197"/>
      <c r="B327" s="119"/>
      <c r="C327" s="119"/>
      <c r="D327" s="198"/>
      <c r="E327" s="119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</row>
    <row r="328" ht="16.5" customHeight="1">
      <c r="A328" s="197"/>
      <c r="B328" s="119"/>
      <c r="C328" s="119"/>
      <c r="D328" s="198"/>
      <c r="E328" s="119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</row>
    <row r="329" ht="16.5" customHeight="1">
      <c r="A329" s="197"/>
      <c r="B329" s="119"/>
      <c r="C329" s="119"/>
      <c r="D329" s="198"/>
      <c r="E329" s="119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</row>
    <row r="330" ht="16.5" customHeight="1">
      <c r="A330" s="197"/>
      <c r="B330" s="119"/>
      <c r="C330" s="119"/>
      <c r="D330" s="198"/>
      <c r="E330" s="119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</row>
    <row r="331" ht="16.5" customHeight="1">
      <c r="A331" s="197"/>
      <c r="B331" s="119"/>
      <c r="C331" s="119"/>
      <c r="D331" s="198"/>
      <c r="E331" s="119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</row>
    <row r="332" ht="16.5" customHeight="1">
      <c r="A332" s="197"/>
      <c r="B332" s="119"/>
      <c r="C332" s="119"/>
      <c r="D332" s="198"/>
      <c r="E332" s="119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</row>
    <row r="333" ht="16.5" customHeight="1">
      <c r="A333" s="197"/>
      <c r="B333" s="119"/>
      <c r="C333" s="119"/>
      <c r="D333" s="198"/>
      <c r="E333" s="119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</row>
    <row r="334" ht="16.5" customHeight="1">
      <c r="A334" s="197"/>
      <c r="B334" s="119"/>
      <c r="C334" s="119"/>
      <c r="D334" s="198"/>
      <c r="E334" s="119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</row>
    <row r="335" ht="16.5" customHeight="1">
      <c r="A335" s="197"/>
      <c r="B335" s="119"/>
      <c r="C335" s="119"/>
      <c r="D335" s="198"/>
      <c r="E335" s="119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</row>
    <row r="336" ht="16.5" customHeight="1">
      <c r="A336" s="197"/>
      <c r="B336" s="119"/>
      <c r="C336" s="119"/>
      <c r="D336" s="198"/>
      <c r="E336" s="119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</row>
    <row r="337" ht="16.5" customHeight="1">
      <c r="A337" s="197"/>
      <c r="B337" s="119"/>
      <c r="C337" s="119"/>
      <c r="D337" s="198"/>
      <c r="E337" s="119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</row>
    <row r="338" ht="16.5" customHeight="1">
      <c r="A338" s="197"/>
      <c r="B338" s="119"/>
      <c r="C338" s="119"/>
      <c r="D338" s="198"/>
      <c r="E338" s="119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</row>
    <row r="339" ht="16.5" customHeight="1">
      <c r="A339" s="197"/>
      <c r="B339" s="119"/>
      <c r="C339" s="119"/>
      <c r="D339" s="198"/>
      <c r="E339" s="119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</row>
    <row r="340" ht="16.5" customHeight="1">
      <c r="A340" s="197"/>
      <c r="B340" s="119"/>
      <c r="C340" s="119"/>
      <c r="D340" s="198"/>
      <c r="E340" s="119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</row>
    <row r="341" ht="16.5" customHeight="1">
      <c r="A341" s="197"/>
      <c r="B341" s="119"/>
      <c r="C341" s="119"/>
      <c r="D341" s="198"/>
      <c r="E341" s="119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</row>
    <row r="342" ht="16.5" customHeight="1">
      <c r="A342" s="197"/>
      <c r="B342" s="119"/>
      <c r="C342" s="119"/>
      <c r="D342" s="198"/>
      <c r="E342" s="119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</row>
    <row r="343" ht="16.5" customHeight="1">
      <c r="A343" s="197"/>
      <c r="B343" s="119"/>
      <c r="C343" s="119"/>
      <c r="D343" s="198"/>
      <c r="E343" s="119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</row>
    <row r="344" ht="16.5" customHeight="1">
      <c r="A344" s="197"/>
      <c r="B344" s="119"/>
      <c r="C344" s="119"/>
      <c r="D344" s="198"/>
      <c r="E344" s="119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</row>
    <row r="345" ht="16.5" customHeight="1">
      <c r="A345" s="197"/>
      <c r="B345" s="119"/>
      <c r="C345" s="119"/>
      <c r="D345" s="198"/>
      <c r="E345" s="119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</row>
    <row r="346" ht="16.5" customHeight="1">
      <c r="A346" s="197"/>
      <c r="B346" s="119"/>
      <c r="C346" s="119"/>
      <c r="D346" s="198"/>
      <c r="E346" s="119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</row>
    <row r="347" ht="16.5" customHeight="1">
      <c r="A347" s="197"/>
      <c r="B347" s="119"/>
      <c r="C347" s="119"/>
      <c r="D347" s="198"/>
      <c r="E347" s="119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</row>
    <row r="348" ht="16.5" customHeight="1">
      <c r="A348" s="197"/>
      <c r="B348" s="119"/>
      <c r="C348" s="119"/>
      <c r="D348" s="198"/>
      <c r="E348" s="119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</row>
    <row r="349" ht="16.5" customHeight="1">
      <c r="A349" s="197"/>
      <c r="B349" s="119"/>
      <c r="C349" s="119"/>
      <c r="D349" s="198"/>
      <c r="E349" s="119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</row>
    <row r="350" ht="16.5" customHeight="1">
      <c r="A350" s="197"/>
      <c r="B350" s="119"/>
      <c r="C350" s="119"/>
      <c r="D350" s="198"/>
      <c r="E350" s="119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</row>
    <row r="351" ht="16.5" customHeight="1">
      <c r="A351" s="197"/>
      <c r="B351" s="119"/>
      <c r="C351" s="119"/>
      <c r="D351" s="198"/>
      <c r="E351" s="119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</row>
    <row r="352" ht="16.5" customHeight="1">
      <c r="A352" s="197"/>
      <c r="B352" s="119"/>
      <c r="C352" s="119"/>
      <c r="D352" s="198"/>
      <c r="E352" s="119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</row>
    <row r="353" ht="16.5" customHeight="1">
      <c r="A353" s="197"/>
      <c r="B353" s="119"/>
      <c r="C353" s="119"/>
      <c r="D353" s="198"/>
      <c r="E353" s="119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</row>
    <row r="354" ht="16.5" customHeight="1">
      <c r="A354" s="197"/>
      <c r="B354" s="119"/>
      <c r="C354" s="119"/>
      <c r="D354" s="198"/>
      <c r="E354" s="119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</row>
    <row r="355" ht="16.5" customHeight="1">
      <c r="A355" s="197"/>
      <c r="B355" s="119"/>
      <c r="C355" s="119"/>
      <c r="D355" s="198"/>
      <c r="E355" s="119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</row>
    <row r="356" ht="16.5" customHeight="1">
      <c r="A356" s="197"/>
      <c r="B356" s="119"/>
      <c r="C356" s="119"/>
      <c r="D356" s="198"/>
      <c r="E356" s="119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</row>
    <row r="357" ht="16.5" customHeight="1">
      <c r="A357" s="197"/>
      <c r="B357" s="119"/>
      <c r="C357" s="119"/>
      <c r="D357" s="198"/>
      <c r="E357" s="119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</row>
    <row r="358" ht="16.5" customHeight="1">
      <c r="A358" s="197"/>
      <c r="B358" s="119"/>
      <c r="C358" s="119"/>
      <c r="D358" s="198"/>
      <c r="E358" s="119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</row>
    <row r="359" ht="16.5" customHeight="1">
      <c r="A359" s="197"/>
      <c r="B359" s="119"/>
      <c r="C359" s="119"/>
      <c r="D359" s="198"/>
      <c r="E359" s="119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</row>
    <row r="360" ht="16.5" customHeight="1">
      <c r="A360" s="197"/>
      <c r="B360" s="119"/>
      <c r="C360" s="119"/>
      <c r="D360" s="198"/>
      <c r="E360" s="119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</row>
    <row r="361" ht="16.5" customHeight="1">
      <c r="A361" s="197"/>
      <c r="B361" s="119"/>
      <c r="C361" s="119"/>
      <c r="D361" s="198"/>
      <c r="E361" s="119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</row>
    <row r="362" ht="16.5" customHeight="1">
      <c r="A362" s="197"/>
      <c r="B362" s="119"/>
      <c r="C362" s="119"/>
      <c r="D362" s="198"/>
      <c r="E362" s="119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</row>
    <row r="363" ht="16.5" customHeight="1">
      <c r="A363" s="197"/>
      <c r="B363" s="119"/>
      <c r="C363" s="119"/>
      <c r="D363" s="198"/>
      <c r="E363" s="119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</row>
    <row r="364" ht="16.5" customHeight="1">
      <c r="A364" s="197"/>
      <c r="B364" s="119"/>
      <c r="C364" s="119"/>
      <c r="D364" s="198"/>
      <c r="E364" s="119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</row>
    <row r="365" ht="16.5" customHeight="1">
      <c r="A365" s="197"/>
      <c r="B365" s="119"/>
      <c r="C365" s="119"/>
      <c r="D365" s="198"/>
      <c r="E365" s="119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</row>
    <row r="366" ht="16.5" customHeight="1">
      <c r="A366" s="197"/>
      <c r="B366" s="119"/>
      <c r="C366" s="119"/>
      <c r="D366" s="198"/>
      <c r="E366" s="119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</row>
    <row r="367" ht="16.5" customHeight="1">
      <c r="A367" s="197"/>
      <c r="B367" s="119"/>
      <c r="C367" s="119"/>
      <c r="D367" s="198"/>
      <c r="E367" s="119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</row>
    <row r="368" ht="16.5" customHeight="1">
      <c r="A368" s="197"/>
      <c r="B368" s="119"/>
      <c r="C368" s="119"/>
      <c r="D368" s="198"/>
      <c r="E368" s="119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</row>
    <row r="369" ht="16.5" customHeight="1">
      <c r="A369" s="197"/>
      <c r="B369" s="119"/>
      <c r="C369" s="119"/>
      <c r="D369" s="198"/>
      <c r="E369" s="119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</row>
    <row r="370" ht="16.5" customHeight="1">
      <c r="A370" s="197"/>
      <c r="B370" s="119"/>
      <c r="C370" s="119"/>
      <c r="D370" s="198"/>
      <c r="E370" s="119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</row>
    <row r="371" ht="16.5" customHeight="1">
      <c r="A371" s="197"/>
      <c r="B371" s="119"/>
      <c r="C371" s="119"/>
      <c r="D371" s="198"/>
      <c r="E371" s="119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</row>
    <row r="372" ht="16.5" customHeight="1">
      <c r="A372" s="197"/>
      <c r="B372" s="119"/>
      <c r="C372" s="119"/>
      <c r="D372" s="198"/>
      <c r="E372" s="119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</row>
    <row r="373" ht="16.5" customHeight="1">
      <c r="A373" s="197"/>
      <c r="B373" s="119"/>
      <c r="C373" s="119"/>
      <c r="D373" s="198"/>
      <c r="E373" s="119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</row>
    <row r="374" ht="16.5" customHeight="1">
      <c r="A374" s="197"/>
      <c r="B374" s="119"/>
      <c r="C374" s="119"/>
      <c r="D374" s="198"/>
      <c r="E374" s="119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</row>
    <row r="375" ht="16.5" customHeight="1">
      <c r="A375" s="197"/>
      <c r="B375" s="119"/>
      <c r="C375" s="119"/>
      <c r="D375" s="198"/>
      <c r="E375" s="119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</row>
    <row r="376" ht="16.5" customHeight="1">
      <c r="A376" s="197"/>
      <c r="B376" s="119"/>
      <c r="C376" s="119"/>
      <c r="D376" s="198"/>
      <c r="E376" s="119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</row>
    <row r="377" ht="16.5" customHeight="1">
      <c r="A377" s="197"/>
      <c r="B377" s="119"/>
      <c r="C377" s="119"/>
      <c r="D377" s="198"/>
      <c r="E377" s="119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</row>
    <row r="378" ht="16.5" customHeight="1">
      <c r="A378" s="197"/>
      <c r="B378" s="119"/>
      <c r="C378" s="119"/>
      <c r="D378" s="198"/>
      <c r="E378" s="119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</row>
    <row r="379" ht="16.5" customHeight="1">
      <c r="A379" s="197"/>
      <c r="B379" s="119"/>
      <c r="C379" s="119"/>
      <c r="D379" s="198"/>
      <c r="E379" s="119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</row>
    <row r="380" ht="16.5" customHeight="1">
      <c r="A380" s="197"/>
      <c r="B380" s="119"/>
      <c r="C380" s="119"/>
      <c r="D380" s="198"/>
      <c r="E380" s="119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</row>
    <row r="381" ht="16.5" customHeight="1">
      <c r="A381" s="197"/>
      <c r="B381" s="119"/>
      <c r="C381" s="119"/>
      <c r="D381" s="198"/>
      <c r="E381" s="119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</row>
    <row r="382" ht="16.5" customHeight="1">
      <c r="A382" s="197"/>
      <c r="B382" s="119"/>
      <c r="C382" s="119"/>
      <c r="D382" s="198"/>
      <c r="E382" s="119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</row>
    <row r="383" ht="16.5" customHeight="1">
      <c r="A383" s="197"/>
      <c r="B383" s="119"/>
      <c r="C383" s="119"/>
      <c r="D383" s="198"/>
      <c r="E383" s="119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</row>
    <row r="384" ht="16.5" customHeight="1">
      <c r="A384" s="197"/>
      <c r="B384" s="119"/>
      <c r="C384" s="119"/>
      <c r="D384" s="198"/>
      <c r="E384" s="119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</row>
    <row r="385" ht="16.5" customHeight="1">
      <c r="A385" s="197"/>
      <c r="B385" s="119"/>
      <c r="C385" s="119"/>
      <c r="D385" s="198"/>
      <c r="E385" s="119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</row>
    <row r="386" ht="16.5" customHeight="1">
      <c r="A386" s="197"/>
      <c r="B386" s="119"/>
      <c r="C386" s="119"/>
      <c r="D386" s="198"/>
      <c r="E386" s="119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</row>
    <row r="387" ht="16.5" customHeight="1">
      <c r="A387" s="197"/>
      <c r="B387" s="119"/>
      <c r="C387" s="119"/>
      <c r="D387" s="198"/>
      <c r="E387" s="119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</row>
    <row r="388" ht="16.5" customHeight="1">
      <c r="A388" s="197"/>
      <c r="B388" s="119"/>
      <c r="C388" s="119"/>
      <c r="D388" s="198"/>
      <c r="E388" s="119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</row>
    <row r="389" ht="16.5" customHeight="1">
      <c r="A389" s="197"/>
      <c r="B389" s="119"/>
      <c r="C389" s="119"/>
      <c r="D389" s="198"/>
      <c r="E389" s="119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</row>
    <row r="390" ht="16.5" customHeight="1">
      <c r="A390" s="197"/>
      <c r="B390" s="119"/>
      <c r="C390" s="119"/>
      <c r="D390" s="198"/>
      <c r="E390" s="119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</row>
    <row r="391" ht="16.5" customHeight="1">
      <c r="A391" s="197"/>
      <c r="B391" s="119"/>
      <c r="C391" s="119"/>
      <c r="D391" s="198"/>
      <c r="E391" s="119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</row>
    <row r="392" ht="16.5" customHeight="1">
      <c r="A392" s="197"/>
      <c r="B392" s="119"/>
      <c r="C392" s="119"/>
      <c r="D392" s="198"/>
      <c r="E392" s="119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</row>
    <row r="393" ht="16.5" customHeight="1">
      <c r="A393" s="197"/>
      <c r="B393" s="119"/>
      <c r="C393" s="119"/>
      <c r="D393" s="198"/>
      <c r="E393" s="119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</row>
    <row r="394" ht="16.5" customHeight="1">
      <c r="A394" s="197"/>
      <c r="B394" s="119"/>
      <c r="C394" s="119"/>
      <c r="D394" s="198"/>
      <c r="E394" s="119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</row>
    <row r="395" ht="16.5" customHeight="1">
      <c r="A395" s="197"/>
      <c r="B395" s="119"/>
      <c r="C395" s="119"/>
      <c r="D395" s="198"/>
      <c r="E395" s="119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</row>
    <row r="396" ht="16.5" customHeight="1">
      <c r="A396" s="197"/>
      <c r="B396" s="119"/>
      <c r="C396" s="119"/>
      <c r="D396" s="198"/>
      <c r="E396" s="119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</row>
    <row r="397" ht="16.5" customHeight="1">
      <c r="A397" s="197"/>
      <c r="B397" s="119"/>
      <c r="C397" s="119"/>
      <c r="D397" s="198"/>
      <c r="E397" s="119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</row>
    <row r="398" ht="16.5" customHeight="1">
      <c r="A398" s="197"/>
      <c r="B398" s="119"/>
      <c r="C398" s="119"/>
      <c r="D398" s="198"/>
      <c r="E398" s="119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</row>
    <row r="399" ht="16.5" customHeight="1">
      <c r="A399" s="197"/>
      <c r="B399" s="119"/>
      <c r="C399" s="119"/>
      <c r="D399" s="198"/>
      <c r="E399" s="119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</row>
    <row r="400" ht="16.5" customHeight="1">
      <c r="A400" s="197"/>
      <c r="B400" s="119"/>
      <c r="C400" s="119"/>
      <c r="D400" s="198"/>
      <c r="E400" s="119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</row>
    <row r="401" ht="16.5" customHeight="1">
      <c r="A401" s="197"/>
      <c r="B401" s="119"/>
      <c r="C401" s="119"/>
      <c r="D401" s="198"/>
      <c r="E401" s="119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</row>
    <row r="402" ht="16.5" customHeight="1">
      <c r="A402" s="197"/>
      <c r="B402" s="119"/>
      <c r="C402" s="119"/>
      <c r="D402" s="198"/>
      <c r="E402" s="119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</row>
    <row r="403" ht="16.5" customHeight="1">
      <c r="A403" s="197"/>
      <c r="B403" s="119"/>
      <c r="C403" s="119"/>
      <c r="D403" s="198"/>
      <c r="E403" s="119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</row>
    <row r="404" ht="16.5" customHeight="1">
      <c r="A404" s="197"/>
      <c r="B404" s="119"/>
      <c r="C404" s="119"/>
      <c r="D404" s="198"/>
      <c r="E404" s="119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</row>
    <row r="405" ht="16.5" customHeight="1">
      <c r="A405" s="197"/>
      <c r="B405" s="119"/>
      <c r="C405" s="119"/>
      <c r="D405" s="198"/>
      <c r="E405" s="119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</row>
    <row r="406" ht="16.5" customHeight="1">
      <c r="A406" s="197"/>
      <c r="B406" s="119"/>
      <c r="C406" s="119"/>
      <c r="D406" s="198"/>
      <c r="E406" s="119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</row>
    <row r="407" ht="16.5" customHeight="1">
      <c r="A407" s="197"/>
      <c r="B407" s="119"/>
      <c r="C407" s="119"/>
      <c r="D407" s="198"/>
      <c r="E407" s="119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</row>
    <row r="408" ht="16.5" customHeight="1">
      <c r="A408" s="197"/>
      <c r="B408" s="119"/>
      <c r="C408" s="119"/>
      <c r="D408" s="198"/>
      <c r="E408" s="119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</row>
    <row r="409" ht="16.5" customHeight="1">
      <c r="A409" s="197"/>
      <c r="B409" s="119"/>
      <c r="C409" s="119"/>
      <c r="D409" s="198"/>
      <c r="E409" s="119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</row>
    <row r="410" ht="16.5" customHeight="1">
      <c r="A410" s="197"/>
      <c r="B410" s="119"/>
      <c r="C410" s="119"/>
      <c r="D410" s="198"/>
      <c r="E410" s="119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</row>
    <row r="411" ht="16.5" customHeight="1">
      <c r="A411" s="197"/>
      <c r="B411" s="119"/>
      <c r="C411" s="119"/>
      <c r="D411" s="198"/>
      <c r="E411" s="119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</row>
    <row r="412" ht="16.5" customHeight="1">
      <c r="A412" s="197"/>
      <c r="B412" s="119"/>
      <c r="C412" s="119"/>
      <c r="D412" s="198"/>
      <c r="E412" s="119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</row>
    <row r="413" ht="16.5" customHeight="1">
      <c r="A413" s="197"/>
      <c r="B413" s="119"/>
      <c r="C413" s="119"/>
      <c r="D413" s="198"/>
      <c r="E413" s="119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</row>
    <row r="414" ht="16.5" customHeight="1">
      <c r="A414" s="197"/>
      <c r="B414" s="119"/>
      <c r="C414" s="119"/>
      <c r="D414" s="198"/>
      <c r="E414" s="119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</row>
    <row r="415" ht="16.5" customHeight="1">
      <c r="A415" s="197"/>
      <c r="B415" s="119"/>
      <c r="C415" s="119"/>
      <c r="D415" s="198"/>
      <c r="E415" s="119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</row>
    <row r="416" ht="16.5" customHeight="1">
      <c r="A416" s="197"/>
      <c r="B416" s="119"/>
      <c r="C416" s="119"/>
      <c r="D416" s="198"/>
      <c r="E416" s="119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</row>
    <row r="417" ht="16.5" customHeight="1">
      <c r="A417" s="197"/>
      <c r="B417" s="119"/>
      <c r="C417" s="119"/>
      <c r="D417" s="198"/>
      <c r="E417" s="119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</row>
    <row r="418" ht="16.5" customHeight="1">
      <c r="A418" s="197"/>
      <c r="B418" s="119"/>
      <c r="C418" s="119"/>
      <c r="D418" s="198"/>
      <c r="E418" s="119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</row>
    <row r="419" ht="16.5" customHeight="1">
      <c r="A419" s="197"/>
      <c r="B419" s="119"/>
      <c r="C419" s="119"/>
      <c r="D419" s="198"/>
      <c r="E419" s="119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</row>
    <row r="420" ht="16.5" customHeight="1">
      <c r="A420" s="197"/>
      <c r="B420" s="119"/>
      <c r="C420" s="119"/>
      <c r="D420" s="198"/>
      <c r="E420" s="119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</row>
    <row r="421" ht="16.5" customHeight="1">
      <c r="A421" s="197"/>
      <c r="B421" s="119"/>
      <c r="C421" s="119"/>
      <c r="D421" s="198"/>
      <c r="E421" s="119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</row>
    <row r="422" ht="16.5" customHeight="1">
      <c r="A422" s="197"/>
      <c r="B422" s="119"/>
      <c r="C422" s="119"/>
      <c r="D422" s="198"/>
      <c r="E422" s="119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</row>
    <row r="423" ht="16.5" customHeight="1">
      <c r="A423" s="197"/>
      <c r="B423" s="119"/>
      <c r="C423" s="119"/>
      <c r="D423" s="198"/>
      <c r="E423" s="119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</row>
    <row r="424" ht="16.5" customHeight="1">
      <c r="A424" s="197"/>
      <c r="B424" s="119"/>
      <c r="C424" s="119"/>
      <c r="D424" s="198"/>
      <c r="E424" s="119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</row>
    <row r="425" ht="16.5" customHeight="1">
      <c r="A425" s="197"/>
      <c r="B425" s="119"/>
      <c r="C425" s="119"/>
      <c r="D425" s="198"/>
      <c r="E425" s="119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</row>
    <row r="426" ht="16.5" customHeight="1">
      <c r="A426" s="197"/>
      <c r="B426" s="119"/>
      <c r="C426" s="119"/>
      <c r="D426" s="198"/>
      <c r="E426" s="119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</row>
    <row r="427" ht="16.5" customHeight="1">
      <c r="A427" s="197"/>
      <c r="B427" s="119"/>
      <c r="C427" s="119"/>
      <c r="D427" s="198"/>
      <c r="E427" s="119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</row>
    <row r="428" ht="16.5" customHeight="1">
      <c r="A428" s="197"/>
      <c r="B428" s="119"/>
      <c r="C428" s="119"/>
      <c r="D428" s="198"/>
      <c r="E428" s="119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</row>
    <row r="429" ht="16.5" customHeight="1">
      <c r="A429" s="197"/>
      <c r="B429" s="119"/>
      <c r="C429" s="119"/>
      <c r="D429" s="198"/>
      <c r="E429" s="119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</row>
    <row r="430" ht="16.5" customHeight="1">
      <c r="A430" s="197"/>
      <c r="B430" s="119"/>
      <c r="C430" s="119"/>
      <c r="D430" s="198"/>
      <c r="E430" s="119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</row>
    <row r="431" ht="16.5" customHeight="1">
      <c r="A431" s="197"/>
      <c r="B431" s="119"/>
      <c r="C431" s="119"/>
      <c r="D431" s="198"/>
      <c r="E431" s="119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</row>
    <row r="432" ht="16.5" customHeight="1">
      <c r="A432" s="197"/>
      <c r="B432" s="119"/>
      <c r="C432" s="119"/>
      <c r="D432" s="198"/>
      <c r="E432" s="119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</row>
    <row r="433" ht="16.5" customHeight="1">
      <c r="A433" s="197"/>
      <c r="B433" s="119"/>
      <c r="C433" s="119"/>
      <c r="D433" s="198"/>
      <c r="E433" s="119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</row>
    <row r="434" ht="16.5" customHeight="1">
      <c r="A434" s="197"/>
      <c r="B434" s="119"/>
      <c r="C434" s="119"/>
      <c r="D434" s="198"/>
      <c r="E434" s="119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</row>
    <row r="435" ht="16.5" customHeight="1">
      <c r="A435" s="197"/>
      <c r="B435" s="119"/>
      <c r="C435" s="119"/>
      <c r="D435" s="198"/>
      <c r="E435" s="119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</row>
    <row r="436" ht="16.5" customHeight="1">
      <c r="A436" s="197"/>
      <c r="B436" s="119"/>
      <c r="C436" s="119"/>
      <c r="D436" s="198"/>
      <c r="E436" s="119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</row>
    <row r="437" ht="16.5" customHeight="1">
      <c r="A437" s="197"/>
      <c r="B437" s="119"/>
      <c r="C437" s="119"/>
      <c r="D437" s="198"/>
      <c r="E437" s="119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</row>
    <row r="438" ht="16.5" customHeight="1">
      <c r="A438" s="197"/>
      <c r="B438" s="119"/>
      <c r="C438" s="119"/>
      <c r="D438" s="198"/>
      <c r="E438" s="119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</row>
    <row r="439" ht="16.5" customHeight="1">
      <c r="A439" s="197"/>
      <c r="B439" s="119"/>
      <c r="C439" s="119"/>
      <c r="D439" s="198"/>
      <c r="E439" s="119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</row>
    <row r="440" ht="16.5" customHeight="1">
      <c r="A440" s="197"/>
      <c r="B440" s="119"/>
      <c r="C440" s="119"/>
      <c r="D440" s="198"/>
      <c r="E440" s="119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</row>
    <row r="441" ht="16.5" customHeight="1">
      <c r="A441" s="197"/>
      <c r="B441" s="119"/>
      <c r="C441" s="119"/>
      <c r="D441" s="198"/>
      <c r="E441" s="119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</row>
    <row r="442" ht="16.5" customHeight="1">
      <c r="A442" s="197"/>
      <c r="B442" s="119"/>
      <c r="C442" s="119"/>
      <c r="D442" s="198"/>
      <c r="E442" s="119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</row>
    <row r="443" ht="16.5" customHeight="1">
      <c r="A443" s="197"/>
      <c r="B443" s="119"/>
      <c r="C443" s="119"/>
      <c r="D443" s="198"/>
      <c r="E443" s="119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</row>
    <row r="444" ht="16.5" customHeight="1">
      <c r="A444" s="197"/>
      <c r="B444" s="119"/>
      <c r="C444" s="119"/>
      <c r="D444" s="198"/>
      <c r="E444" s="119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</row>
    <row r="445" ht="16.5" customHeight="1">
      <c r="A445" s="197"/>
      <c r="B445" s="119"/>
      <c r="C445" s="119"/>
      <c r="D445" s="198"/>
      <c r="E445" s="119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</row>
    <row r="446" ht="16.5" customHeight="1">
      <c r="A446" s="197"/>
      <c r="B446" s="119"/>
      <c r="C446" s="119"/>
      <c r="D446" s="198"/>
      <c r="E446" s="119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</row>
    <row r="447" ht="16.5" customHeight="1">
      <c r="A447" s="197"/>
      <c r="B447" s="119"/>
      <c r="C447" s="119"/>
      <c r="D447" s="198"/>
      <c r="E447" s="119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</row>
    <row r="448" ht="16.5" customHeight="1">
      <c r="A448" s="197"/>
      <c r="B448" s="119"/>
      <c r="C448" s="119"/>
      <c r="D448" s="198"/>
      <c r="E448" s="119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</row>
    <row r="449" ht="16.5" customHeight="1">
      <c r="A449" s="197"/>
      <c r="B449" s="119"/>
      <c r="C449" s="119"/>
      <c r="D449" s="198"/>
      <c r="E449" s="119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</row>
    <row r="450" ht="16.5" customHeight="1">
      <c r="A450" s="197"/>
      <c r="B450" s="119"/>
      <c r="C450" s="119"/>
      <c r="D450" s="198"/>
      <c r="E450" s="119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</row>
    <row r="451" ht="16.5" customHeight="1">
      <c r="A451" s="197"/>
      <c r="B451" s="119"/>
      <c r="C451" s="119"/>
      <c r="D451" s="198"/>
      <c r="E451" s="119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</row>
    <row r="452" ht="16.5" customHeight="1">
      <c r="A452" s="197"/>
      <c r="B452" s="119"/>
      <c r="C452" s="119"/>
      <c r="D452" s="198"/>
      <c r="E452" s="119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</row>
    <row r="453" ht="16.5" customHeight="1">
      <c r="A453" s="197"/>
      <c r="B453" s="119"/>
      <c r="C453" s="119"/>
      <c r="D453" s="198"/>
      <c r="E453" s="119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</row>
    <row r="454" ht="16.5" customHeight="1">
      <c r="A454" s="197"/>
      <c r="B454" s="119"/>
      <c r="C454" s="119"/>
      <c r="D454" s="198"/>
      <c r="E454" s="119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</row>
    <row r="455" ht="16.5" customHeight="1">
      <c r="A455" s="197"/>
      <c r="B455" s="119"/>
      <c r="C455" s="119"/>
      <c r="D455" s="198"/>
      <c r="E455" s="119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</row>
    <row r="456" ht="16.5" customHeight="1">
      <c r="A456" s="197"/>
      <c r="B456" s="119"/>
      <c r="C456" s="119"/>
      <c r="D456" s="198"/>
      <c r="E456" s="119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</row>
    <row r="457" ht="16.5" customHeight="1">
      <c r="A457" s="197"/>
      <c r="B457" s="119"/>
      <c r="C457" s="119"/>
      <c r="D457" s="198"/>
      <c r="E457" s="119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</row>
    <row r="458" ht="16.5" customHeight="1">
      <c r="A458" s="197"/>
      <c r="B458" s="119"/>
      <c r="C458" s="119"/>
      <c r="D458" s="198"/>
      <c r="E458" s="119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</row>
    <row r="459" ht="16.5" customHeight="1">
      <c r="A459" s="197"/>
      <c r="B459" s="119"/>
      <c r="C459" s="119"/>
      <c r="D459" s="198"/>
      <c r="E459" s="119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</row>
    <row r="460" ht="16.5" customHeight="1">
      <c r="A460" s="197"/>
      <c r="B460" s="119"/>
      <c r="C460" s="119"/>
      <c r="D460" s="198"/>
      <c r="E460" s="119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</row>
    <row r="461" ht="16.5" customHeight="1">
      <c r="A461" s="197"/>
      <c r="B461" s="119"/>
      <c r="C461" s="119"/>
      <c r="D461" s="198"/>
      <c r="E461" s="119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</row>
    <row r="462" ht="16.5" customHeight="1">
      <c r="A462" s="197"/>
      <c r="B462" s="119"/>
      <c r="C462" s="119"/>
      <c r="D462" s="198"/>
      <c r="E462" s="119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</row>
    <row r="463" ht="16.5" customHeight="1">
      <c r="A463" s="197"/>
      <c r="B463" s="119"/>
      <c r="C463" s="119"/>
      <c r="D463" s="198"/>
      <c r="E463" s="119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</row>
    <row r="464" ht="16.5" customHeight="1">
      <c r="A464" s="197"/>
      <c r="B464" s="119"/>
      <c r="C464" s="119"/>
      <c r="D464" s="198"/>
      <c r="E464" s="119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</row>
    <row r="465" ht="16.5" customHeight="1">
      <c r="A465" s="197"/>
      <c r="B465" s="119"/>
      <c r="C465" s="119"/>
      <c r="D465" s="198"/>
      <c r="E465" s="119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</row>
    <row r="466" ht="16.5" customHeight="1">
      <c r="A466" s="197"/>
      <c r="B466" s="119"/>
      <c r="C466" s="119"/>
      <c r="D466" s="198"/>
      <c r="E466" s="119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</row>
    <row r="467" ht="16.5" customHeight="1">
      <c r="A467" s="197"/>
      <c r="B467" s="119"/>
      <c r="C467" s="119"/>
      <c r="D467" s="198"/>
      <c r="E467" s="119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</row>
    <row r="468" ht="16.5" customHeight="1">
      <c r="A468" s="197"/>
      <c r="B468" s="119"/>
      <c r="C468" s="119"/>
      <c r="D468" s="198"/>
      <c r="E468" s="119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</row>
    <row r="469" ht="16.5" customHeight="1">
      <c r="A469" s="197"/>
      <c r="B469" s="119"/>
      <c r="C469" s="119"/>
      <c r="D469" s="198"/>
      <c r="E469" s="119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</row>
    <row r="470" ht="16.5" customHeight="1">
      <c r="A470" s="197"/>
      <c r="B470" s="119"/>
      <c r="C470" s="119"/>
      <c r="D470" s="198"/>
      <c r="E470" s="119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</row>
    <row r="471" ht="16.5" customHeight="1">
      <c r="A471" s="197"/>
      <c r="B471" s="119"/>
      <c r="C471" s="119"/>
      <c r="D471" s="198"/>
      <c r="E471" s="119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</row>
    <row r="472" ht="16.5" customHeight="1">
      <c r="A472" s="197"/>
      <c r="B472" s="119"/>
      <c r="C472" s="119"/>
      <c r="D472" s="198"/>
      <c r="E472" s="119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</row>
    <row r="473" ht="16.5" customHeight="1">
      <c r="A473" s="197"/>
      <c r="B473" s="119"/>
      <c r="C473" s="119"/>
      <c r="D473" s="198"/>
      <c r="E473" s="119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</row>
    <row r="474" ht="16.5" customHeight="1">
      <c r="A474" s="197"/>
      <c r="B474" s="119"/>
      <c r="C474" s="119"/>
      <c r="D474" s="198"/>
      <c r="E474" s="119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</row>
    <row r="475" ht="16.5" customHeight="1">
      <c r="A475" s="197"/>
      <c r="B475" s="119"/>
      <c r="C475" s="119"/>
      <c r="D475" s="198"/>
      <c r="E475" s="119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</row>
    <row r="476" ht="16.5" customHeight="1">
      <c r="A476" s="197"/>
      <c r="B476" s="119"/>
      <c r="C476" s="119"/>
      <c r="D476" s="198"/>
      <c r="E476" s="119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</row>
    <row r="477" ht="16.5" customHeight="1">
      <c r="A477" s="197"/>
      <c r="B477" s="119"/>
      <c r="C477" s="119"/>
      <c r="D477" s="198"/>
      <c r="E477" s="119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</row>
    <row r="478" ht="16.5" customHeight="1">
      <c r="A478" s="197"/>
      <c r="B478" s="119"/>
      <c r="C478" s="119"/>
      <c r="D478" s="198"/>
      <c r="E478" s="119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</row>
    <row r="479" ht="16.5" customHeight="1">
      <c r="A479" s="197"/>
      <c r="B479" s="119"/>
      <c r="C479" s="119"/>
      <c r="D479" s="198"/>
      <c r="E479" s="119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</row>
    <row r="480" ht="16.5" customHeight="1">
      <c r="A480" s="197"/>
      <c r="B480" s="119"/>
      <c r="C480" s="119"/>
      <c r="D480" s="198"/>
      <c r="E480" s="119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</row>
    <row r="481" ht="16.5" customHeight="1">
      <c r="A481" s="197"/>
      <c r="B481" s="119"/>
      <c r="C481" s="119"/>
      <c r="D481" s="198"/>
      <c r="E481" s="119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</row>
    <row r="482" ht="16.5" customHeight="1">
      <c r="A482" s="197"/>
      <c r="B482" s="119"/>
      <c r="C482" s="119"/>
      <c r="D482" s="198"/>
      <c r="E482" s="119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</row>
    <row r="483" ht="16.5" customHeight="1">
      <c r="A483" s="197"/>
      <c r="B483" s="119"/>
      <c r="C483" s="119"/>
      <c r="D483" s="198"/>
      <c r="E483" s="119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</row>
    <row r="484" ht="16.5" customHeight="1">
      <c r="A484" s="197"/>
      <c r="B484" s="119"/>
      <c r="C484" s="119"/>
      <c r="D484" s="198"/>
      <c r="E484" s="119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</row>
    <row r="485" ht="16.5" customHeight="1">
      <c r="A485" s="197"/>
      <c r="B485" s="119"/>
      <c r="C485" s="119"/>
      <c r="D485" s="198"/>
      <c r="E485" s="119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</row>
    <row r="486" ht="16.5" customHeight="1">
      <c r="A486" s="197"/>
      <c r="B486" s="119"/>
      <c r="C486" s="119"/>
      <c r="D486" s="198"/>
      <c r="E486" s="119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</row>
    <row r="487" ht="16.5" customHeight="1">
      <c r="A487" s="197"/>
      <c r="B487" s="119"/>
      <c r="C487" s="119"/>
      <c r="D487" s="198"/>
      <c r="E487" s="119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</row>
    <row r="488" ht="16.5" customHeight="1">
      <c r="A488" s="197"/>
      <c r="B488" s="119"/>
      <c r="C488" s="119"/>
      <c r="D488" s="198"/>
      <c r="E488" s="119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</row>
    <row r="489" ht="16.5" customHeight="1">
      <c r="A489" s="197"/>
      <c r="B489" s="119"/>
      <c r="C489" s="119"/>
      <c r="D489" s="198"/>
      <c r="E489" s="119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</row>
    <row r="490" ht="16.5" customHeight="1">
      <c r="A490" s="197"/>
      <c r="B490" s="119"/>
      <c r="C490" s="119"/>
      <c r="D490" s="198"/>
      <c r="E490" s="119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</row>
    <row r="491" ht="16.5" customHeight="1">
      <c r="A491" s="197"/>
      <c r="B491" s="119"/>
      <c r="C491" s="119"/>
      <c r="D491" s="198"/>
      <c r="E491" s="119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</row>
    <row r="492" ht="16.5" customHeight="1">
      <c r="A492" s="197"/>
      <c r="B492" s="119"/>
      <c r="C492" s="119"/>
      <c r="D492" s="198"/>
      <c r="E492" s="119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</row>
    <row r="493" ht="16.5" customHeight="1">
      <c r="A493" s="197"/>
      <c r="B493" s="119"/>
      <c r="C493" s="119"/>
      <c r="D493" s="198"/>
      <c r="E493" s="119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</row>
    <row r="494" ht="16.5" customHeight="1">
      <c r="A494" s="197"/>
      <c r="B494" s="119"/>
      <c r="C494" s="119"/>
      <c r="D494" s="198"/>
      <c r="E494" s="119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</row>
    <row r="495" ht="16.5" customHeight="1">
      <c r="A495" s="197"/>
      <c r="B495" s="119"/>
      <c r="C495" s="119"/>
      <c r="D495" s="198"/>
      <c r="E495" s="119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</row>
    <row r="496" ht="16.5" customHeight="1">
      <c r="A496" s="197"/>
      <c r="B496" s="119"/>
      <c r="C496" s="119"/>
      <c r="D496" s="198"/>
      <c r="E496" s="119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</row>
    <row r="497" ht="16.5" customHeight="1">
      <c r="A497" s="197"/>
      <c r="B497" s="119"/>
      <c r="C497" s="119"/>
      <c r="D497" s="198"/>
      <c r="E497" s="119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</row>
    <row r="498" ht="16.5" customHeight="1">
      <c r="A498" s="197"/>
      <c r="B498" s="119"/>
      <c r="C498" s="119"/>
      <c r="D498" s="198"/>
      <c r="E498" s="119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</row>
    <row r="499" ht="16.5" customHeight="1">
      <c r="A499" s="197"/>
      <c r="B499" s="119"/>
      <c r="C499" s="119"/>
      <c r="D499" s="198"/>
      <c r="E499" s="119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</row>
    <row r="500" ht="16.5" customHeight="1">
      <c r="A500" s="197"/>
      <c r="B500" s="119"/>
      <c r="C500" s="119"/>
      <c r="D500" s="198"/>
      <c r="E500" s="119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</row>
    <row r="501" ht="16.5" customHeight="1">
      <c r="A501" s="197"/>
      <c r="B501" s="119"/>
      <c r="C501" s="119"/>
      <c r="D501" s="198"/>
      <c r="E501" s="119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</row>
    <row r="502" ht="16.5" customHeight="1">
      <c r="A502" s="197"/>
      <c r="B502" s="119"/>
      <c r="C502" s="119"/>
      <c r="D502" s="198"/>
      <c r="E502" s="119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</row>
    <row r="503" ht="16.5" customHeight="1">
      <c r="A503" s="197"/>
      <c r="B503" s="119"/>
      <c r="C503" s="119"/>
      <c r="D503" s="198"/>
      <c r="E503" s="119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</row>
    <row r="504" ht="16.5" customHeight="1">
      <c r="A504" s="197"/>
      <c r="B504" s="119"/>
      <c r="C504" s="119"/>
      <c r="D504" s="198"/>
      <c r="E504" s="119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</row>
    <row r="505" ht="16.5" customHeight="1">
      <c r="A505" s="197"/>
      <c r="B505" s="119"/>
      <c r="C505" s="119"/>
      <c r="D505" s="198"/>
      <c r="E505" s="119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</row>
    <row r="506" ht="16.5" customHeight="1">
      <c r="A506" s="197"/>
      <c r="B506" s="119"/>
      <c r="C506" s="119"/>
      <c r="D506" s="198"/>
      <c r="E506" s="119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</row>
    <row r="507" ht="16.5" customHeight="1">
      <c r="A507" s="197"/>
      <c r="B507" s="119"/>
      <c r="C507" s="119"/>
      <c r="D507" s="198"/>
      <c r="E507" s="119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</row>
    <row r="508" ht="16.5" customHeight="1">
      <c r="A508" s="197"/>
      <c r="B508" s="119"/>
      <c r="C508" s="119"/>
      <c r="D508" s="198"/>
      <c r="E508" s="119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</row>
    <row r="509" ht="16.5" customHeight="1">
      <c r="A509" s="197"/>
      <c r="B509" s="119"/>
      <c r="C509" s="119"/>
      <c r="D509" s="198"/>
      <c r="E509" s="119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</row>
    <row r="510" ht="16.5" customHeight="1">
      <c r="A510" s="197"/>
      <c r="B510" s="119"/>
      <c r="C510" s="119"/>
      <c r="D510" s="198"/>
      <c r="E510" s="119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</row>
    <row r="511" ht="16.5" customHeight="1">
      <c r="A511" s="197"/>
      <c r="B511" s="119"/>
      <c r="C511" s="119"/>
      <c r="D511" s="198"/>
      <c r="E511" s="119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</row>
    <row r="512" ht="16.5" customHeight="1">
      <c r="A512" s="197"/>
      <c r="B512" s="119"/>
      <c r="C512" s="119"/>
      <c r="D512" s="198"/>
      <c r="E512" s="119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</row>
    <row r="513" ht="16.5" customHeight="1">
      <c r="A513" s="197"/>
      <c r="B513" s="119"/>
      <c r="C513" s="119"/>
      <c r="D513" s="198"/>
      <c r="E513" s="119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</row>
    <row r="514" ht="16.5" customHeight="1">
      <c r="A514" s="197"/>
      <c r="B514" s="119"/>
      <c r="C514" s="119"/>
      <c r="D514" s="198"/>
      <c r="E514" s="119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</row>
    <row r="515" ht="16.5" customHeight="1">
      <c r="A515" s="197"/>
      <c r="B515" s="119"/>
      <c r="C515" s="119"/>
      <c r="D515" s="198"/>
      <c r="E515" s="119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</row>
    <row r="516" ht="16.5" customHeight="1">
      <c r="A516" s="197"/>
      <c r="B516" s="119"/>
      <c r="C516" s="119"/>
      <c r="D516" s="198"/>
      <c r="E516" s="119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</row>
    <row r="517" ht="16.5" customHeight="1">
      <c r="A517" s="197"/>
      <c r="B517" s="119"/>
      <c r="C517" s="119"/>
      <c r="D517" s="198"/>
      <c r="E517" s="119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</row>
    <row r="518" ht="16.5" customHeight="1">
      <c r="A518" s="197"/>
      <c r="B518" s="119"/>
      <c r="C518" s="119"/>
      <c r="D518" s="198"/>
      <c r="E518" s="119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</row>
    <row r="519" ht="16.5" customHeight="1">
      <c r="A519" s="197"/>
      <c r="B519" s="119"/>
      <c r="C519" s="119"/>
      <c r="D519" s="198"/>
      <c r="E519" s="119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</row>
    <row r="520" ht="16.5" customHeight="1">
      <c r="A520" s="197"/>
      <c r="B520" s="119"/>
      <c r="C520" s="119"/>
      <c r="D520" s="198"/>
      <c r="E520" s="119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</row>
    <row r="521" ht="16.5" customHeight="1">
      <c r="A521" s="197"/>
      <c r="B521" s="119"/>
      <c r="C521" s="119"/>
      <c r="D521" s="198"/>
      <c r="E521" s="119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</row>
    <row r="522" ht="16.5" customHeight="1">
      <c r="A522" s="197"/>
      <c r="B522" s="119"/>
      <c r="C522" s="119"/>
      <c r="D522" s="198"/>
      <c r="E522" s="119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</row>
    <row r="523" ht="16.5" customHeight="1">
      <c r="A523" s="197"/>
      <c r="B523" s="119"/>
      <c r="C523" s="119"/>
      <c r="D523" s="198"/>
      <c r="E523" s="119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</row>
    <row r="524" ht="16.5" customHeight="1">
      <c r="A524" s="197"/>
      <c r="B524" s="119"/>
      <c r="C524" s="119"/>
      <c r="D524" s="198"/>
      <c r="E524" s="119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</row>
    <row r="525" ht="16.5" customHeight="1">
      <c r="A525" s="197"/>
      <c r="B525" s="119"/>
      <c r="C525" s="119"/>
      <c r="D525" s="198"/>
      <c r="E525" s="119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</row>
    <row r="526" ht="16.5" customHeight="1">
      <c r="A526" s="197"/>
      <c r="B526" s="119"/>
      <c r="C526" s="119"/>
      <c r="D526" s="198"/>
      <c r="E526" s="119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</row>
    <row r="527" ht="16.5" customHeight="1">
      <c r="A527" s="197"/>
      <c r="B527" s="119"/>
      <c r="C527" s="119"/>
      <c r="D527" s="198"/>
      <c r="E527" s="119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</row>
    <row r="528" ht="16.5" customHeight="1">
      <c r="A528" s="197"/>
      <c r="B528" s="119"/>
      <c r="C528" s="119"/>
      <c r="D528" s="198"/>
      <c r="E528" s="119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</row>
    <row r="529" ht="16.5" customHeight="1">
      <c r="A529" s="197"/>
      <c r="B529" s="119"/>
      <c r="C529" s="119"/>
      <c r="D529" s="198"/>
      <c r="E529" s="119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</row>
    <row r="530" ht="16.5" customHeight="1">
      <c r="A530" s="197"/>
      <c r="B530" s="119"/>
      <c r="C530" s="119"/>
      <c r="D530" s="198"/>
      <c r="E530" s="119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</row>
    <row r="531" ht="16.5" customHeight="1">
      <c r="A531" s="197"/>
      <c r="B531" s="119"/>
      <c r="C531" s="119"/>
      <c r="D531" s="198"/>
      <c r="E531" s="119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</row>
    <row r="532" ht="16.5" customHeight="1">
      <c r="A532" s="197"/>
      <c r="B532" s="119"/>
      <c r="C532" s="119"/>
      <c r="D532" s="198"/>
      <c r="E532" s="119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</row>
    <row r="533" ht="16.5" customHeight="1">
      <c r="A533" s="197"/>
      <c r="B533" s="119"/>
      <c r="C533" s="119"/>
      <c r="D533" s="198"/>
      <c r="E533" s="119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</row>
    <row r="534" ht="16.5" customHeight="1">
      <c r="A534" s="197"/>
      <c r="B534" s="119"/>
      <c r="C534" s="119"/>
      <c r="D534" s="198"/>
      <c r="E534" s="119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</row>
    <row r="535" ht="16.5" customHeight="1">
      <c r="A535" s="197"/>
      <c r="B535" s="119"/>
      <c r="C535" s="119"/>
      <c r="D535" s="198"/>
      <c r="E535" s="119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</row>
    <row r="536" ht="16.5" customHeight="1">
      <c r="A536" s="197"/>
      <c r="B536" s="119"/>
      <c r="C536" s="119"/>
      <c r="D536" s="198"/>
      <c r="E536" s="119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</row>
    <row r="537" ht="16.5" customHeight="1">
      <c r="A537" s="197"/>
      <c r="B537" s="119"/>
      <c r="C537" s="119"/>
      <c r="D537" s="198"/>
      <c r="E537" s="119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</row>
    <row r="538" ht="16.5" customHeight="1">
      <c r="A538" s="197"/>
      <c r="B538" s="119"/>
      <c r="C538" s="119"/>
      <c r="D538" s="198"/>
      <c r="E538" s="119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</row>
    <row r="539" ht="16.5" customHeight="1">
      <c r="A539" s="197"/>
      <c r="B539" s="119"/>
      <c r="C539" s="119"/>
      <c r="D539" s="198"/>
      <c r="E539" s="119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</row>
    <row r="540" ht="16.5" customHeight="1">
      <c r="A540" s="197"/>
      <c r="B540" s="119"/>
      <c r="C540" s="119"/>
      <c r="D540" s="198"/>
      <c r="E540" s="119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</row>
    <row r="541" ht="16.5" customHeight="1">
      <c r="A541" s="197"/>
      <c r="B541" s="119"/>
      <c r="C541" s="119"/>
      <c r="D541" s="198"/>
      <c r="E541" s="119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</row>
    <row r="542" ht="16.5" customHeight="1">
      <c r="A542" s="197"/>
      <c r="B542" s="119"/>
      <c r="C542" s="119"/>
      <c r="D542" s="198"/>
      <c r="E542" s="119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</row>
    <row r="543" ht="16.5" customHeight="1">
      <c r="A543" s="197"/>
      <c r="B543" s="119"/>
      <c r="C543" s="119"/>
      <c r="D543" s="198"/>
      <c r="E543" s="119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</row>
    <row r="544" ht="16.5" customHeight="1">
      <c r="A544" s="197"/>
      <c r="B544" s="119"/>
      <c r="C544" s="119"/>
      <c r="D544" s="198"/>
      <c r="E544" s="119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</row>
    <row r="545" ht="16.5" customHeight="1">
      <c r="A545" s="197"/>
      <c r="B545" s="119"/>
      <c r="C545" s="119"/>
      <c r="D545" s="198"/>
      <c r="E545" s="119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</row>
    <row r="546" ht="16.5" customHeight="1">
      <c r="A546" s="197"/>
      <c r="B546" s="119"/>
      <c r="C546" s="119"/>
      <c r="D546" s="198"/>
      <c r="E546" s="119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</row>
    <row r="547" ht="16.5" customHeight="1">
      <c r="A547" s="197"/>
      <c r="B547" s="119"/>
      <c r="C547" s="119"/>
      <c r="D547" s="198"/>
      <c r="E547" s="119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</row>
    <row r="548" ht="16.5" customHeight="1">
      <c r="A548" s="197"/>
      <c r="B548" s="119"/>
      <c r="C548" s="119"/>
      <c r="D548" s="198"/>
      <c r="E548" s="119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</row>
    <row r="549" ht="16.5" customHeight="1">
      <c r="A549" s="197"/>
      <c r="B549" s="119"/>
      <c r="C549" s="119"/>
      <c r="D549" s="198"/>
      <c r="E549" s="119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</row>
    <row r="550" ht="16.5" customHeight="1">
      <c r="A550" s="197"/>
      <c r="B550" s="119"/>
      <c r="C550" s="119"/>
      <c r="D550" s="198"/>
      <c r="E550" s="119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</row>
    <row r="551" ht="16.5" customHeight="1">
      <c r="A551" s="197"/>
      <c r="B551" s="119"/>
      <c r="C551" s="119"/>
      <c r="D551" s="198"/>
      <c r="E551" s="119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</row>
    <row r="552" ht="16.5" customHeight="1">
      <c r="A552" s="197"/>
      <c r="B552" s="119"/>
      <c r="C552" s="119"/>
      <c r="D552" s="198"/>
      <c r="E552" s="119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</row>
    <row r="553" ht="16.5" customHeight="1">
      <c r="A553" s="197"/>
      <c r="B553" s="119"/>
      <c r="C553" s="119"/>
      <c r="D553" s="198"/>
      <c r="E553" s="119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</row>
    <row r="554" ht="16.5" customHeight="1">
      <c r="A554" s="197"/>
      <c r="B554" s="119"/>
      <c r="C554" s="119"/>
      <c r="D554" s="198"/>
      <c r="E554" s="119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</row>
    <row r="555" ht="16.5" customHeight="1">
      <c r="A555" s="197"/>
      <c r="B555" s="119"/>
      <c r="C555" s="119"/>
      <c r="D555" s="198"/>
      <c r="E555" s="119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</row>
    <row r="556" ht="16.5" customHeight="1">
      <c r="A556" s="197"/>
      <c r="B556" s="119"/>
      <c r="C556" s="119"/>
      <c r="D556" s="198"/>
      <c r="E556" s="119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</row>
    <row r="557" ht="16.5" customHeight="1">
      <c r="A557" s="197"/>
      <c r="B557" s="119"/>
      <c r="C557" s="119"/>
      <c r="D557" s="198"/>
      <c r="E557" s="119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</row>
    <row r="558" ht="16.5" customHeight="1">
      <c r="A558" s="197"/>
      <c r="B558" s="119"/>
      <c r="C558" s="119"/>
      <c r="D558" s="198"/>
      <c r="E558" s="119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</row>
    <row r="559" ht="16.5" customHeight="1">
      <c r="A559" s="197"/>
      <c r="B559" s="119"/>
      <c r="C559" s="119"/>
      <c r="D559" s="198"/>
      <c r="E559" s="119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</row>
    <row r="560" ht="16.5" customHeight="1">
      <c r="A560" s="197"/>
      <c r="B560" s="119"/>
      <c r="C560" s="119"/>
      <c r="D560" s="198"/>
      <c r="E560" s="119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</row>
    <row r="561" ht="16.5" customHeight="1">
      <c r="A561" s="197"/>
      <c r="B561" s="119"/>
      <c r="C561" s="119"/>
      <c r="D561" s="198"/>
      <c r="E561" s="119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</row>
    <row r="562" ht="16.5" customHeight="1">
      <c r="A562" s="197"/>
      <c r="B562" s="119"/>
      <c r="C562" s="119"/>
      <c r="D562" s="198"/>
      <c r="E562" s="119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</row>
    <row r="563" ht="16.5" customHeight="1">
      <c r="A563" s="197"/>
      <c r="B563" s="119"/>
      <c r="C563" s="119"/>
      <c r="D563" s="198"/>
      <c r="E563" s="119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</row>
    <row r="564" ht="16.5" customHeight="1">
      <c r="A564" s="197"/>
      <c r="B564" s="119"/>
      <c r="C564" s="119"/>
      <c r="D564" s="198"/>
      <c r="E564" s="119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</row>
    <row r="565" ht="16.5" customHeight="1">
      <c r="A565" s="197"/>
      <c r="B565" s="119"/>
      <c r="C565" s="119"/>
      <c r="D565" s="198"/>
      <c r="E565" s="119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</row>
    <row r="566" ht="16.5" customHeight="1">
      <c r="A566" s="197"/>
      <c r="B566" s="119"/>
      <c r="C566" s="119"/>
      <c r="D566" s="198"/>
      <c r="E566" s="119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</row>
    <row r="567" ht="16.5" customHeight="1">
      <c r="A567" s="197"/>
      <c r="B567" s="119"/>
      <c r="C567" s="119"/>
      <c r="D567" s="198"/>
      <c r="E567" s="119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</row>
    <row r="568" ht="16.5" customHeight="1">
      <c r="A568" s="197"/>
      <c r="B568" s="119"/>
      <c r="C568" s="119"/>
      <c r="D568" s="198"/>
      <c r="E568" s="119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</row>
    <row r="569" ht="16.5" customHeight="1">
      <c r="A569" s="197"/>
      <c r="B569" s="119"/>
      <c r="C569" s="119"/>
      <c r="D569" s="198"/>
      <c r="E569" s="119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</row>
    <row r="570" ht="16.5" customHeight="1">
      <c r="A570" s="197"/>
      <c r="B570" s="119"/>
      <c r="C570" s="119"/>
      <c r="D570" s="198"/>
      <c r="E570" s="119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</row>
    <row r="571" ht="16.5" customHeight="1">
      <c r="A571" s="197"/>
      <c r="B571" s="119"/>
      <c r="C571" s="119"/>
      <c r="D571" s="198"/>
      <c r="E571" s="119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</row>
    <row r="572" ht="16.5" customHeight="1">
      <c r="A572" s="197"/>
      <c r="B572" s="119"/>
      <c r="C572" s="119"/>
      <c r="D572" s="198"/>
      <c r="E572" s="119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</row>
    <row r="573" ht="16.5" customHeight="1">
      <c r="A573" s="197"/>
      <c r="B573" s="119"/>
      <c r="C573" s="119"/>
      <c r="D573" s="198"/>
      <c r="E573" s="119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</row>
    <row r="574" ht="16.5" customHeight="1">
      <c r="A574" s="197"/>
      <c r="B574" s="119"/>
      <c r="C574" s="119"/>
      <c r="D574" s="198"/>
      <c r="E574" s="119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</row>
    <row r="575" ht="16.5" customHeight="1">
      <c r="A575" s="197"/>
      <c r="B575" s="119"/>
      <c r="C575" s="119"/>
      <c r="D575" s="198"/>
      <c r="E575" s="119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</row>
    <row r="576" ht="16.5" customHeight="1">
      <c r="A576" s="197"/>
      <c r="B576" s="119"/>
      <c r="C576" s="119"/>
      <c r="D576" s="198"/>
      <c r="E576" s="119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</row>
    <row r="577" ht="16.5" customHeight="1">
      <c r="A577" s="197"/>
      <c r="B577" s="119"/>
      <c r="C577" s="119"/>
      <c r="D577" s="198"/>
      <c r="E577" s="119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</row>
    <row r="578" ht="16.5" customHeight="1">
      <c r="A578" s="197"/>
      <c r="B578" s="119"/>
      <c r="C578" s="119"/>
      <c r="D578" s="198"/>
      <c r="E578" s="119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</row>
    <row r="579" ht="16.5" customHeight="1">
      <c r="A579" s="197"/>
      <c r="B579" s="119"/>
      <c r="C579" s="119"/>
      <c r="D579" s="198"/>
      <c r="E579" s="119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</row>
    <row r="580" ht="16.5" customHeight="1">
      <c r="A580" s="197"/>
      <c r="B580" s="119"/>
      <c r="C580" s="119"/>
      <c r="D580" s="198"/>
      <c r="E580" s="119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</row>
    <row r="581" ht="16.5" customHeight="1">
      <c r="A581" s="197"/>
      <c r="B581" s="119"/>
      <c r="C581" s="119"/>
      <c r="D581" s="198"/>
      <c r="E581" s="119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</row>
    <row r="582" ht="16.5" customHeight="1">
      <c r="A582" s="197"/>
      <c r="B582" s="119"/>
      <c r="C582" s="119"/>
      <c r="D582" s="198"/>
      <c r="E582" s="119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</row>
    <row r="583" ht="16.5" customHeight="1">
      <c r="A583" s="197"/>
      <c r="B583" s="119"/>
      <c r="C583" s="119"/>
      <c r="D583" s="198"/>
      <c r="E583" s="119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</row>
    <row r="584" ht="16.5" customHeight="1">
      <c r="A584" s="197"/>
      <c r="B584" s="119"/>
      <c r="C584" s="119"/>
      <c r="D584" s="198"/>
      <c r="E584" s="119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</row>
    <row r="585" ht="16.5" customHeight="1">
      <c r="A585" s="197"/>
      <c r="B585" s="119"/>
      <c r="C585" s="119"/>
      <c r="D585" s="198"/>
      <c r="E585" s="119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</row>
    <row r="586" ht="16.5" customHeight="1">
      <c r="A586" s="197"/>
      <c r="B586" s="119"/>
      <c r="C586" s="119"/>
      <c r="D586" s="198"/>
      <c r="E586" s="119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</row>
    <row r="587" ht="16.5" customHeight="1">
      <c r="A587" s="197"/>
      <c r="B587" s="119"/>
      <c r="C587" s="119"/>
      <c r="D587" s="198"/>
      <c r="E587" s="119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</row>
    <row r="588" ht="16.5" customHeight="1">
      <c r="A588" s="197"/>
      <c r="B588" s="119"/>
      <c r="C588" s="119"/>
      <c r="D588" s="198"/>
      <c r="E588" s="119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</row>
    <row r="589" ht="16.5" customHeight="1">
      <c r="A589" s="197"/>
      <c r="B589" s="119"/>
      <c r="C589" s="119"/>
      <c r="D589" s="198"/>
      <c r="E589" s="119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</row>
    <row r="590" ht="16.5" customHeight="1">
      <c r="A590" s="197"/>
      <c r="B590" s="119"/>
      <c r="C590" s="119"/>
      <c r="D590" s="198"/>
      <c r="E590" s="119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</row>
    <row r="591" ht="16.5" customHeight="1">
      <c r="A591" s="197"/>
      <c r="B591" s="119"/>
      <c r="C591" s="119"/>
      <c r="D591" s="198"/>
      <c r="E591" s="119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</row>
    <row r="592" ht="16.5" customHeight="1">
      <c r="A592" s="197"/>
      <c r="B592" s="119"/>
      <c r="C592" s="119"/>
      <c r="D592" s="198"/>
      <c r="E592" s="119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</row>
    <row r="593" ht="16.5" customHeight="1">
      <c r="A593" s="197"/>
      <c r="B593" s="119"/>
      <c r="C593" s="119"/>
      <c r="D593" s="198"/>
      <c r="E593" s="119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</row>
    <row r="594" ht="16.5" customHeight="1">
      <c r="A594" s="197"/>
      <c r="B594" s="119"/>
      <c r="C594" s="119"/>
      <c r="D594" s="198"/>
      <c r="E594" s="119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</row>
    <row r="595" ht="16.5" customHeight="1">
      <c r="A595" s="197"/>
      <c r="B595" s="119"/>
      <c r="C595" s="119"/>
      <c r="D595" s="198"/>
      <c r="E595" s="119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</row>
    <row r="596" ht="16.5" customHeight="1">
      <c r="A596" s="197"/>
      <c r="B596" s="119"/>
      <c r="C596" s="119"/>
      <c r="D596" s="198"/>
      <c r="E596" s="119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</row>
    <row r="597" ht="16.5" customHeight="1">
      <c r="A597" s="197"/>
      <c r="B597" s="119"/>
      <c r="C597" s="119"/>
      <c r="D597" s="198"/>
      <c r="E597" s="119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</row>
    <row r="598" ht="16.5" customHeight="1">
      <c r="A598" s="197"/>
      <c r="B598" s="119"/>
      <c r="C598" s="119"/>
      <c r="D598" s="198"/>
      <c r="E598" s="119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</row>
    <row r="599" ht="16.5" customHeight="1">
      <c r="A599" s="197"/>
      <c r="B599" s="119"/>
      <c r="C599" s="119"/>
      <c r="D599" s="198"/>
      <c r="E599" s="119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</row>
    <row r="600" ht="16.5" customHeight="1">
      <c r="A600" s="197"/>
      <c r="B600" s="119"/>
      <c r="C600" s="119"/>
      <c r="D600" s="198"/>
      <c r="E600" s="119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</row>
    <row r="601" ht="16.5" customHeight="1">
      <c r="A601" s="197"/>
      <c r="B601" s="119"/>
      <c r="C601" s="119"/>
      <c r="D601" s="198"/>
      <c r="E601" s="119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</row>
    <row r="602" ht="16.5" customHeight="1">
      <c r="A602" s="197"/>
      <c r="B602" s="119"/>
      <c r="C602" s="119"/>
      <c r="D602" s="198"/>
      <c r="E602" s="119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</row>
    <row r="603" ht="16.5" customHeight="1">
      <c r="A603" s="197"/>
      <c r="B603" s="119"/>
      <c r="C603" s="119"/>
      <c r="D603" s="198"/>
      <c r="E603" s="119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</row>
    <row r="604" ht="16.5" customHeight="1">
      <c r="A604" s="197"/>
      <c r="B604" s="119"/>
      <c r="C604" s="119"/>
      <c r="D604" s="198"/>
      <c r="E604" s="119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</row>
    <row r="605" ht="16.5" customHeight="1">
      <c r="A605" s="197"/>
      <c r="B605" s="119"/>
      <c r="C605" s="119"/>
      <c r="D605" s="198"/>
      <c r="E605" s="119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</row>
    <row r="606" ht="16.5" customHeight="1">
      <c r="A606" s="197"/>
      <c r="B606" s="119"/>
      <c r="C606" s="119"/>
      <c r="D606" s="198"/>
      <c r="E606" s="119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</row>
    <row r="607" ht="16.5" customHeight="1">
      <c r="A607" s="197"/>
      <c r="B607" s="119"/>
      <c r="C607" s="119"/>
      <c r="D607" s="198"/>
      <c r="E607" s="119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</row>
    <row r="608" ht="16.5" customHeight="1">
      <c r="A608" s="197"/>
      <c r="B608" s="119"/>
      <c r="C608" s="119"/>
      <c r="D608" s="198"/>
      <c r="E608" s="119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</row>
    <row r="609" ht="16.5" customHeight="1">
      <c r="A609" s="197"/>
      <c r="B609" s="119"/>
      <c r="C609" s="119"/>
      <c r="D609" s="198"/>
      <c r="E609" s="119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</row>
    <row r="610" ht="16.5" customHeight="1">
      <c r="A610" s="197"/>
      <c r="B610" s="119"/>
      <c r="C610" s="119"/>
      <c r="D610" s="198"/>
      <c r="E610" s="119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</row>
    <row r="611" ht="16.5" customHeight="1">
      <c r="A611" s="197"/>
      <c r="B611" s="119"/>
      <c r="C611" s="119"/>
      <c r="D611" s="198"/>
      <c r="E611" s="119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</row>
    <row r="612" ht="16.5" customHeight="1">
      <c r="A612" s="197"/>
      <c r="B612" s="119"/>
      <c r="C612" s="119"/>
      <c r="D612" s="198"/>
      <c r="E612" s="119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</row>
    <row r="613" ht="16.5" customHeight="1">
      <c r="A613" s="197"/>
      <c r="B613" s="119"/>
      <c r="C613" s="119"/>
      <c r="D613" s="198"/>
      <c r="E613" s="119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</row>
    <row r="614" ht="16.5" customHeight="1">
      <c r="A614" s="197"/>
      <c r="B614" s="119"/>
      <c r="C614" s="119"/>
      <c r="D614" s="198"/>
      <c r="E614" s="119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</row>
    <row r="615" ht="16.5" customHeight="1">
      <c r="A615" s="197"/>
      <c r="B615" s="119"/>
      <c r="C615" s="119"/>
      <c r="D615" s="198"/>
      <c r="E615" s="119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</row>
    <row r="616" ht="16.5" customHeight="1">
      <c r="A616" s="197"/>
      <c r="B616" s="119"/>
      <c r="C616" s="119"/>
      <c r="D616" s="198"/>
      <c r="E616" s="119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</row>
    <row r="617" ht="16.5" customHeight="1">
      <c r="A617" s="197"/>
      <c r="B617" s="119"/>
      <c r="C617" s="119"/>
      <c r="D617" s="198"/>
      <c r="E617" s="119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</row>
    <row r="618" ht="16.5" customHeight="1">
      <c r="A618" s="197"/>
      <c r="B618" s="119"/>
      <c r="C618" s="119"/>
      <c r="D618" s="198"/>
      <c r="E618" s="119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</row>
    <row r="619" ht="16.5" customHeight="1">
      <c r="A619" s="197"/>
      <c r="B619" s="119"/>
      <c r="C619" s="119"/>
      <c r="D619" s="198"/>
      <c r="E619" s="119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</row>
    <row r="620" ht="16.5" customHeight="1">
      <c r="A620" s="197"/>
      <c r="B620" s="119"/>
      <c r="C620" s="119"/>
      <c r="D620" s="198"/>
      <c r="E620" s="119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</row>
    <row r="621" ht="16.5" customHeight="1">
      <c r="A621" s="197"/>
      <c r="B621" s="119"/>
      <c r="C621" s="119"/>
      <c r="D621" s="198"/>
      <c r="E621" s="119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</row>
    <row r="622" ht="16.5" customHeight="1">
      <c r="A622" s="197"/>
      <c r="B622" s="119"/>
      <c r="C622" s="119"/>
      <c r="D622" s="198"/>
      <c r="E622" s="119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</row>
    <row r="623" ht="16.5" customHeight="1">
      <c r="A623" s="197"/>
      <c r="B623" s="119"/>
      <c r="C623" s="119"/>
      <c r="D623" s="198"/>
      <c r="E623" s="119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</row>
    <row r="624" ht="16.5" customHeight="1">
      <c r="A624" s="197"/>
      <c r="B624" s="119"/>
      <c r="C624" s="119"/>
      <c r="D624" s="198"/>
      <c r="E624" s="119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</row>
    <row r="625" ht="16.5" customHeight="1">
      <c r="A625" s="197"/>
      <c r="B625" s="119"/>
      <c r="C625" s="119"/>
      <c r="D625" s="198"/>
      <c r="E625" s="119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</row>
    <row r="626" ht="16.5" customHeight="1">
      <c r="A626" s="197"/>
      <c r="B626" s="119"/>
      <c r="C626" s="119"/>
      <c r="D626" s="198"/>
      <c r="E626" s="119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</row>
    <row r="627" ht="16.5" customHeight="1">
      <c r="A627" s="197"/>
      <c r="B627" s="119"/>
      <c r="C627" s="119"/>
      <c r="D627" s="198"/>
      <c r="E627" s="119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</row>
    <row r="628" ht="16.5" customHeight="1">
      <c r="A628" s="197"/>
      <c r="B628" s="119"/>
      <c r="C628" s="119"/>
      <c r="D628" s="198"/>
      <c r="E628" s="119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</row>
    <row r="629" ht="16.5" customHeight="1">
      <c r="A629" s="197"/>
      <c r="B629" s="119"/>
      <c r="C629" s="119"/>
      <c r="D629" s="198"/>
      <c r="E629" s="119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</row>
    <row r="630" ht="16.5" customHeight="1">
      <c r="A630" s="197"/>
      <c r="B630" s="119"/>
      <c r="C630" s="119"/>
      <c r="D630" s="198"/>
      <c r="E630" s="119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</row>
    <row r="631" ht="16.5" customHeight="1">
      <c r="A631" s="197"/>
      <c r="B631" s="119"/>
      <c r="C631" s="119"/>
      <c r="D631" s="198"/>
      <c r="E631" s="119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</row>
    <row r="632" ht="16.5" customHeight="1">
      <c r="A632" s="197"/>
      <c r="B632" s="119"/>
      <c r="C632" s="119"/>
      <c r="D632" s="198"/>
      <c r="E632" s="119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</row>
    <row r="633" ht="16.5" customHeight="1">
      <c r="A633" s="197"/>
      <c r="B633" s="119"/>
      <c r="C633" s="119"/>
      <c r="D633" s="198"/>
      <c r="E633" s="119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</row>
    <row r="634" ht="16.5" customHeight="1">
      <c r="A634" s="197"/>
      <c r="B634" s="119"/>
      <c r="C634" s="119"/>
      <c r="D634" s="198"/>
      <c r="E634" s="119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</row>
    <row r="635" ht="16.5" customHeight="1">
      <c r="A635" s="197"/>
      <c r="B635" s="119"/>
      <c r="C635" s="119"/>
      <c r="D635" s="198"/>
      <c r="E635" s="119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</row>
    <row r="636" ht="16.5" customHeight="1">
      <c r="A636" s="197"/>
      <c r="B636" s="119"/>
      <c r="C636" s="119"/>
      <c r="D636" s="198"/>
      <c r="E636" s="119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</row>
    <row r="637" ht="16.5" customHeight="1">
      <c r="A637" s="197"/>
      <c r="B637" s="119"/>
      <c r="C637" s="119"/>
      <c r="D637" s="198"/>
      <c r="E637" s="119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</row>
    <row r="638" ht="16.5" customHeight="1">
      <c r="A638" s="197"/>
      <c r="B638" s="119"/>
      <c r="C638" s="119"/>
      <c r="D638" s="198"/>
      <c r="E638" s="119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</row>
    <row r="639" ht="16.5" customHeight="1">
      <c r="A639" s="197"/>
      <c r="B639" s="119"/>
      <c r="C639" s="119"/>
      <c r="D639" s="198"/>
      <c r="E639" s="119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</row>
    <row r="640" ht="16.5" customHeight="1">
      <c r="A640" s="197"/>
      <c r="B640" s="119"/>
      <c r="C640" s="119"/>
      <c r="D640" s="198"/>
      <c r="E640" s="119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</row>
    <row r="641" ht="16.5" customHeight="1">
      <c r="A641" s="197"/>
      <c r="B641" s="119"/>
      <c r="C641" s="119"/>
      <c r="D641" s="198"/>
      <c r="E641" s="119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</row>
    <row r="642" ht="16.5" customHeight="1">
      <c r="A642" s="197"/>
      <c r="B642" s="119"/>
      <c r="C642" s="119"/>
      <c r="D642" s="198"/>
      <c r="E642" s="119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</row>
    <row r="643" ht="16.5" customHeight="1">
      <c r="A643" s="197"/>
      <c r="B643" s="119"/>
      <c r="C643" s="119"/>
      <c r="D643" s="198"/>
      <c r="E643" s="119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</row>
    <row r="644" ht="16.5" customHeight="1">
      <c r="A644" s="197"/>
      <c r="B644" s="119"/>
      <c r="C644" s="119"/>
      <c r="D644" s="198"/>
      <c r="E644" s="119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</row>
    <row r="645" ht="16.5" customHeight="1">
      <c r="A645" s="197"/>
      <c r="B645" s="119"/>
      <c r="C645" s="119"/>
      <c r="D645" s="198"/>
      <c r="E645" s="119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</row>
    <row r="646" ht="16.5" customHeight="1">
      <c r="A646" s="197"/>
      <c r="B646" s="119"/>
      <c r="C646" s="119"/>
      <c r="D646" s="198"/>
      <c r="E646" s="119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</row>
    <row r="647" ht="16.5" customHeight="1">
      <c r="A647" s="197"/>
      <c r="B647" s="119"/>
      <c r="C647" s="119"/>
      <c r="D647" s="198"/>
      <c r="E647" s="119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</row>
    <row r="648" ht="16.5" customHeight="1">
      <c r="A648" s="197"/>
      <c r="B648" s="119"/>
      <c r="C648" s="119"/>
      <c r="D648" s="198"/>
      <c r="E648" s="119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</row>
    <row r="649" ht="16.5" customHeight="1">
      <c r="A649" s="197"/>
      <c r="B649" s="119"/>
      <c r="C649" s="119"/>
      <c r="D649" s="198"/>
      <c r="E649" s="119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</row>
    <row r="650" ht="16.5" customHeight="1">
      <c r="A650" s="197"/>
      <c r="B650" s="119"/>
      <c r="C650" s="119"/>
      <c r="D650" s="198"/>
      <c r="E650" s="119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</row>
    <row r="651" ht="16.5" customHeight="1">
      <c r="A651" s="197"/>
      <c r="B651" s="119"/>
      <c r="C651" s="119"/>
      <c r="D651" s="198"/>
      <c r="E651" s="119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</row>
    <row r="652" ht="16.5" customHeight="1">
      <c r="A652" s="197"/>
      <c r="B652" s="119"/>
      <c r="C652" s="119"/>
      <c r="D652" s="198"/>
      <c r="E652" s="119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</row>
    <row r="653" ht="16.5" customHeight="1">
      <c r="A653" s="197"/>
      <c r="B653" s="119"/>
      <c r="C653" s="119"/>
      <c r="D653" s="198"/>
      <c r="E653" s="119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</row>
    <row r="654" ht="16.5" customHeight="1">
      <c r="A654" s="197"/>
      <c r="B654" s="119"/>
      <c r="C654" s="119"/>
      <c r="D654" s="198"/>
      <c r="E654" s="119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</row>
    <row r="655" ht="16.5" customHeight="1">
      <c r="A655" s="197"/>
      <c r="B655" s="119"/>
      <c r="C655" s="119"/>
      <c r="D655" s="198"/>
      <c r="E655" s="119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</row>
    <row r="656" ht="16.5" customHeight="1">
      <c r="A656" s="197"/>
      <c r="B656" s="119"/>
      <c r="C656" s="119"/>
      <c r="D656" s="198"/>
      <c r="E656" s="119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</row>
    <row r="657" ht="16.5" customHeight="1">
      <c r="A657" s="197"/>
      <c r="B657" s="119"/>
      <c r="C657" s="119"/>
      <c r="D657" s="198"/>
      <c r="E657" s="119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</row>
    <row r="658" ht="16.5" customHeight="1">
      <c r="A658" s="197"/>
      <c r="B658" s="119"/>
      <c r="C658" s="119"/>
      <c r="D658" s="198"/>
      <c r="E658" s="119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</row>
    <row r="659" ht="16.5" customHeight="1">
      <c r="A659" s="197"/>
      <c r="B659" s="119"/>
      <c r="C659" s="119"/>
      <c r="D659" s="198"/>
      <c r="E659" s="119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</row>
    <row r="660" ht="16.5" customHeight="1">
      <c r="A660" s="197"/>
      <c r="B660" s="119"/>
      <c r="C660" s="119"/>
      <c r="D660" s="198"/>
      <c r="E660" s="119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</row>
    <row r="661" ht="16.5" customHeight="1">
      <c r="A661" s="197"/>
      <c r="B661" s="119"/>
      <c r="C661" s="119"/>
      <c r="D661" s="198"/>
      <c r="E661" s="119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</row>
    <row r="662" ht="16.5" customHeight="1">
      <c r="A662" s="197"/>
      <c r="B662" s="119"/>
      <c r="C662" s="119"/>
      <c r="D662" s="198"/>
      <c r="E662" s="119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</row>
    <row r="663" ht="16.5" customHeight="1">
      <c r="A663" s="197"/>
      <c r="B663" s="119"/>
      <c r="C663" s="119"/>
      <c r="D663" s="198"/>
      <c r="E663" s="119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</row>
    <row r="664" ht="16.5" customHeight="1">
      <c r="A664" s="197"/>
      <c r="B664" s="119"/>
      <c r="C664" s="119"/>
      <c r="D664" s="198"/>
      <c r="E664" s="119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</row>
    <row r="665" ht="16.5" customHeight="1">
      <c r="A665" s="197"/>
      <c r="B665" s="119"/>
      <c r="C665" s="119"/>
      <c r="D665" s="198"/>
      <c r="E665" s="119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</row>
    <row r="666" ht="16.5" customHeight="1">
      <c r="A666" s="197"/>
      <c r="B666" s="119"/>
      <c r="C666" s="119"/>
      <c r="D666" s="198"/>
      <c r="E666" s="119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</row>
    <row r="667" ht="16.5" customHeight="1">
      <c r="A667" s="197"/>
      <c r="B667" s="119"/>
      <c r="C667" s="119"/>
      <c r="D667" s="198"/>
      <c r="E667" s="119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</row>
    <row r="668" ht="16.5" customHeight="1">
      <c r="A668" s="197"/>
      <c r="B668" s="119"/>
      <c r="C668" s="119"/>
      <c r="D668" s="198"/>
      <c r="E668" s="119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</row>
    <row r="669" ht="16.5" customHeight="1">
      <c r="A669" s="197"/>
      <c r="B669" s="119"/>
      <c r="C669" s="119"/>
      <c r="D669" s="198"/>
      <c r="E669" s="119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</row>
    <row r="670" ht="16.5" customHeight="1">
      <c r="A670" s="197"/>
      <c r="B670" s="119"/>
      <c r="C670" s="119"/>
      <c r="D670" s="198"/>
      <c r="E670" s="119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</row>
    <row r="671" ht="16.5" customHeight="1">
      <c r="A671" s="197"/>
      <c r="B671" s="119"/>
      <c r="C671" s="119"/>
      <c r="D671" s="198"/>
      <c r="E671" s="119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</row>
    <row r="672" ht="16.5" customHeight="1">
      <c r="A672" s="197"/>
      <c r="B672" s="119"/>
      <c r="C672" s="119"/>
      <c r="D672" s="198"/>
      <c r="E672" s="119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</row>
    <row r="673" ht="16.5" customHeight="1">
      <c r="A673" s="197"/>
      <c r="B673" s="119"/>
      <c r="C673" s="119"/>
      <c r="D673" s="198"/>
      <c r="E673" s="119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</row>
    <row r="674" ht="16.5" customHeight="1">
      <c r="A674" s="197"/>
      <c r="B674" s="119"/>
      <c r="C674" s="119"/>
      <c r="D674" s="198"/>
      <c r="E674" s="119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</row>
    <row r="675" ht="16.5" customHeight="1">
      <c r="A675" s="197"/>
      <c r="B675" s="119"/>
      <c r="C675" s="119"/>
      <c r="D675" s="198"/>
      <c r="E675" s="119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</row>
    <row r="676" ht="16.5" customHeight="1">
      <c r="A676" s="197"/>
      <c r="B676" s="119"/>
      <c r="C676" s="119"/>
      <c r="D676" s="198"/>
      <c r="E676" s="119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</row>
    <row r="677" ht="16.5" customHeight="1">
      <c r="A677" s="197"/>
      <c r="B677" s="119"/>
      <c r="C677" s="119"/>
      <c r="D677" s="198"/>
      <c r="E677" s="119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</row>
    <row r="678" ht="16.5" customHeight="1">
      <c r="A678" s="197"/>
      <c r="B678" s="119"/>
      <c r="C678" s="119"/>
      <c r="D678" s="198"/>
      <c r="E678" s="119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</row>
    <row r="679" ht="16.5" customHeight="1">
      <c r="A679" s="197"/>
      <c r="B679" s="119"/>
      <c r="C679" s="119"/>
      <c r="D679" s="198"/>
      <c r="E679" s="119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</row>
    <row r="680" ht="16.5" customHeight="1">
      <c r="A680" s="197"/>
      <c r="B680" s="119"/>
      <c r="C680" s="119"/>
      <c r="D680" s="198"/>
      <c r="E680" s="119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</row>
    <row r="681" ht="16.5" customHeight="1">
      <c r="A681" s="197"/>
      <c r="B681" s="119"/>
      <c r="C681" s="119"/>
      <c r="D681" s="198"/>
      <c r="E681" s="119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</row>
    <row r="682" ht="16.5" customHeight="1">
      <c r="A682" s="197"/>
      <c r="B682" s="119"/>
      <c r="C682" s="119"/>
      <c r="D682" s="198"/>
      <c r="E682" s="119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</row>
    <row r="683" ht="16.5" customHeight="1">
      <c r="A683" s="197"/>
      <c r="B683" s="119"/>
      <c r="C683" s="119"/>
      <c r="D683" s="198"/>
      <c r="E683" s="119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</row>
    <row r="684" ht="16.5" customHeight="1">
      <c r="A684" s="197"/>
      <c r="B684" s="119"/>
      <c r="C684" s="119"/>
      <c r="D684" s="198"/>
      <c r="E684" s="119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</row>
    <row r="685" ht="16.5" customHeight="1">
      <c r="A685" s="197"/>
      <c r="B685" s="119"/>
      <c r="C685" s="119"/>
      <c r="D685" s="198"/>
      <c r="E685" s="119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</row>
    <row r="686" ht="16.5" customHeight="1">
      <c r="A686" s="197"/>
      <c r="B686" s="119"/>
      <c r="C686" s="119"/>
      <c r="D686" s="198"/>
      <c r="E686" s="119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</row>
    <row r="687" ht="16.5" customHeight="1">
      <c r="A687" s="197"/>
      <c r="B687" s="119"/>
      <c r="C687" s="119"/>
      <c r="D687" s="198"/>
      <c r="E687" s="119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</row>
    <row r="688" ht="16.5" customHeight="1">
      <c r="A688" s="197"/>
      <c r="B688" s="119"/>
      <c r="C688" s="119"/>
      <c r="D688" s="198"/>
      <c r="E688" s="119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</row>
    <row r="689" ht="16.5" customHeight="1">
      <c r="A689" s="197"/>
      <c r="B689" s="119"/>
      <c r="C689" s="119"/>
      <c r="D689" s="198"/>
      <c r="E689" s="119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</row>
    <row r="690" ht="16.5" customHeight="1">
      <c r="A690" s="197"/>
      <c r="B690" s="119"/>
      <c r="C690" s="119"/>
      <c r="D690" s="198"/>
      <c r="E690" s="119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</row>
    <row r="691" ht="16.5" customHeight="1">
      <c r="A691" s="197"/>
      <c r="B691" s="119"/>
      <c r="C691" s="119"/>
      <c r="D691" s="198"/>
      <c r="E691" s="119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</row>
    <row r="692" ht="16.5" customHeight="1">
      <c r="A692" s="197"/>
      <c r="B692" s="119"/>
      <c r="C692" s="119"/>
      <c r="D692" s="198"/>
      <c r="E692" s="119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</row>
    <row r="693" ht="16.5" customHeight="1">
      <c r="A693" s="197"/>
      <c r="B693" s="119"/>
      <c r="C693" s="119"/>
      <c r="D693" s="198"/>
      <c r="E693" s="119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</row>
    <row r="694" ht="16.5" customHeight="1">
      <c r="A694" s="197"/>
      <c r="B694" s="119"/>
      <c r="C694" s="119"/>
      <c r="D694" s="198"/>
      <c r="E694" s="119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</row>
    <row r="695" ht="16.5" customHeight="1">
      <c r="A695" s="197"/>
      <c r="B695" s="119"/>
      <c r="C695" s="119"/>
      <c r="D695" s="198"/>
      <c r="E695" s="119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</row>
    <row r="696" ht="16.5" customHeight="1">
      <c r="A696" s="197"/>
      <c r="B696" s="119"/>
      <c r="C696" s="119"/>
      <c r="D696" s="198"/>
      <c r="E696" s="119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</row>
    <row r="697" ht="16.5" customHeight="1">
      <c r="A697" s="197"/>
      <c r="B697" s="119"/>
      <c r="C697" s="119"/>
      <c r="D697" s="198"/>
      <c r="E697" s="119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</row>
    <row r="698" ht="16.5" customHeight="1">
      <c r="A698" s="197"/>
      <c r="B698" s="119"/>
      <c r="C698" s="119"/>
      <c r="D698" s="198"/>
      <c r="E698" s="119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</row>
    <row r="699" ht="16.5" customHeight="1">
      <c r="A699" s="197"/>
      <c r="B699" s="119"/>
      <c r="C699" s="119"/>
      <c r="D699" s="198"/>
      <c r="E699" s="119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</row>
    <row r="700" ht="16.5" customHeight="1">
      <c r="A700" s="197"/>
      <c r="B700" s="119"/>
      <c r="C700" s="119"/>
      <c r="D700" s="198"/>
      <c r="E700" s="119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</row>
    <row r="701" ht="16.5" customHeight="1">
      <c r="A701" s="197"/>
      <c r="B701" s="119"/>
      <c r="C701" s="119"/>
      <c r="D701" s="198"/>
      <c r="E701" s="119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</row>
    <row r="702" ht="16.5" customHeight="1">
      <c r="A702" s="197"/>
      <c r="B702" s="119"/>
      <c r="C702" s="119"/>
      <c r="D702" s="198"/>
      <c r="E702" s="119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</row>
    <row r="703" ht="16.5" customHeight="1">
      <c r="A703" s="197"/>
      <c r="B703" s="119"/>
      <c r="C703" s="119"/>
      <c r="D703" s="198"/>
      <c r="E703" s="119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</row>
    <row r="704" ht="16.5" customHeight="1">
      <c r="A704" s="197"/>
      <c r="B704" s="119"/>
      <c r="C704" s="119"/>
      <c r="D704" s="198"/>
      <c r="E704" s="119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</row>
    <row r="705" ht="16.5" customHeight="1">
      <c r="A705" s="197"/>
      <c r="B705" s="119"/>
      <c r="C705" s="119"/>
      <c r="D705" s="198"/>
      <c r="E705" s="119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</row>
    <row r="706" ht="16.5" customHeight="1">
      <c r="A706" s="197"/>
      <c r="B706" s="119"/>
      <c r="C706" s="119"/>
      <c r="D706" s="198"/>
      <c r="E706" s="119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</row>
    <row r="707" ht="16.5" customHeight="1">
      <c r="A707" s="197"/>
      <c r="B707" s="119"/>
      <c r="C707" s="119"/>
      <c r="D707" s="198"/>
      <c r="E707" s="119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</row>
    <row r="708" ht="16.5" customHeight="1">
      <c r="A708" s="197"/>
      <c r="B708" s="119"/>
      <c r="C708" s="119"/>
      <c r="D708" s="198"/>
      <c r="E708" s="119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</row>
    <row r="709" ht="16.5" customHeight="1">
      <c r="A709" s="197"/>
      <c r="B709" s="119"/>
      <c r="C709" s="119"/>
      <c r="D709" s="198"/>
      <c r="E709" s="119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</row>
    <row r="710" ht="16.5" customHeight="1">
      <c r="A710" s="197"/>
      <c r="B710" s="119"/>
      <c r="C710" s="119"/>
      <c r="D710" s="198"/>
      <c r="E710" s="119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</row>
    <row r="711" ht="16.5" customHeight="1">
      <c r="A711" s="197"/>
      <c r="B711" s="119"/>
      <c r="C711" s="119"/>
      <c r="D711" s="198"/>
      <c r="E711" s="119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</row>
    <row r="712" ht="16.5" customHeight="1">
      <c r="A712" s="197"/>
      <c r="B712" s="119"/>
      <c r="C712" s="119"/>
      <c r="D712" s="198"/>
      <c r="E712" s="119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</row>
    <row r="713" ht="16.5" customHeight="1">
      <c r="A713" s="197"/>
      <c r="B713" s="119"/>
      <c r="C713" s="119"/>
      <c r="D713" s="198"/>
      <c r="E713" s="119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</row>
    <row r="714" ht="16.5" customHeight="1">
      <c r="A714" s="197"/>
      <c r="B714" s="119"/>
      <c r="C714" s="119"/>
      <c r="D714" s="198"/>
      <c r="E714" s="119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</row>
    <row r="715" ht="16.5" customHeight="1">
      <c r="A715" s="197"/>
      <c r="B715" s="119"/>
      <c r="C715" s="119"/>
      <c r="D715" s="198"/>
      <c r="E715" s="119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</row>
    <row r="716" ht="16.5" customHeight="1">
      <c r="A716" s="197"/>
      <c r="B716" s="119"/>
      <c r="C716" s="119"/>
      <c r="D716" s="198"/>
      <c r="E716" s="119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</row>
    <row r="717" ht="16.5" customHeight="1">
      <c r="A717" s="197"/>
      <c r="B717" s="119"/>
      <c r="C717" s="119"/>
      <c r="D717" s="198"/>
      <c r="E717" s="119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</row>
    <row r="718" ht="16.5" customHeight="1">
      <c r="A718" s="197"/>
      <c r="B718" s="119"/>
      <c r="C718" s="119"/>
      <c r="D718" s="198"/>
      <c r="E718" s="119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</row>
    <row r="719" ht="16.5" customHeight="1">
      <c r="A719" s="197"/>
      <c r="B719" s="119"/>
      <c r="C719" s="119"/>
      <c r="D719" s="198"/>
      <c r="E719" s="119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</row>
    <row r="720" ht="16.5" customHeight="1">
      <c r="A720" s="197"/>
      <c r="B720" s="119"/>
      <c r="C720" s="119"/>
      <c r="D720" s="198"/>
      <c r="E720" s="119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</row>
    <row r="721" ht="16.5" customHeight="1">
      <c r="A721" s="197"/>
      <c r="B721" s="119"/>
      <c r="C721" s="119"/>
      <c r="D721" s="198"/>
      <c r="E721" s="119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</row>
    <row r="722" ht="16.5" customHeight="1">
      <c r="A722" s="197"/>
      <c r="B722" s="119"/>
      <c r="C722" s="119"/>
      <c r="D722" s="198"/>
      <c r="E722" s="119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</row>
    <row r="723" ht="16.5" customHeight="1">
      <c r="A723" s="197"/>
      <c r="B723" s="119"/>
      <c r="C723" s="119"/>
      <c r="D723" s="198"/>
      <c r="E723" s="119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</row>
    <row r="724" ht="16.5" customHeight="1">
      <c r="A724" s="197"/>
      <c r="B724" s="119"/>
      <c r="C724" s="119"/>
      <c r="D724" s="198"/>
      <c r="E724" s="119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</row>
    <row r="725" ht="16.5" customHeight="1">
      <c r="A725" s="197"/>
      <c r="B725" s="119"/>
      <c r="C725" s="119"/>
      <c r="D725" s="198"/>
      <c r="E725" s="119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</row>
    <row r="726" ht="16.5" customHeight="1">
      <c r="A726" s="197"/>
      <c r="B726" s="119"/>
      <c r="C726" s="119"/>
      <c r="D726" s="198"/>
      <c r="E726" s="119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</row>
    <row r="727" ht="16.5" customHeight="1">
      <c r="A727" s="197"/>
      <c r="B727" s="119"/>
      <c r="C727" s="119"/>
      <c r="D727" s="198"/>
      <c r="E727" s="119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</row>
    <row r="728" ht="16.5" customHeight="1">
      <c r="A728" s="197"/>
      <c r="B728" s="119"/>
      <c r="C728" s="119"/>
      <c r="D728" s="198"/>
      <c r="E728" s="119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</row>
    <row r="729" ht="16.5" customHeight="1">
      <c r="A729" s="197"/>
      <c r="B729" s="119"/>
      <c r="C729" s="119"/>
      <c r="D729" s="198"/>
      <c r="E729" s="119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</row>
    <row r="730" ht="16.5" customHeight="1">
      <c r="A730" s="197"/>
      <c r="B730" s="119"/>
      <c r="C730" s="119"/>
      <c r="D730" s="198"/>
      <c r="E730" s="119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</row>
    <row r="731" ht="16.5" customHeight="1">
      <c r="A731" s="197"/>
      <c r="B731" s="119"/>
      <c r="C731" s="119"/>
      <c r="D731" s="198"/>
      <c r="E731" s="119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</row>
    <row r="732" ht="16.5" customHeight="1">
      <c r="A732" s="197"/>
      <c r="B732" s="119"/>
      <c r="C732" s="119"/>
      <c r="D732" s="198"/>
      <c r="E732" s="119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</row>
    <row r="733" ht="16.5" customHeight="1">
      <c r="A733" s="197"/>
      <c r="B733" s="119"/>
      <c r="C733" s="119"/>
      <c r="D733" s="198"/>
      <c r="E733" s="119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</row>
    <row r="734" ht="16.5" customHeight="1">
      <c r="A734" s="197"/>
      <c r="B734" s="119"/>
      <c r="C734" s="119"/>
      <c r="D734" s="198"/>
      <c r="E734" s="119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</row>
    <row r="735" ht="16.5" customHeight="1">
      <c r="A735" s="197"/>
      <c r="B735" s="119"/>
      <c r="C735" s="119"/>
      <c r="D735" s="198"/>
      <c r="E735" s="119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</row>
    <row r="736" ht="16.5" customHeight="1">
      <c r="A736" s="197"/>
      <c r="B736" s="119"/>
      <c r="C736" s="119"/>
      <c r="D736" s="198"/>
      <c r="E736" s="119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</row>
    <row r="737" ht="16.5" customHeight="1">
      <c r="A737" s="197"/>
      <c r="B737" s="119"/>
      <c r="C737" s="119"/>
      <c r="D737" s="198"/>
      <c r="E737" s="119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</row>
    <row r="738" ht="16.5" customHeight="1">
      <c r="A738" s="197"/>
      <c r="B738" s="119"/>
      <c r="C738" s="119"/>
      <c r="D738" s="198"/>
      <c r="E738" s="119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</row>
    <row r="739" ht="16.5" customHeight="1">
      <c r="A739" s="197"/>
      <c r="B739" s="119"/>
      <c r="C739" s="119"/>
      <c r="D739" s="198"/>
      <c r="E739" s="119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</row>
    <row r="740" ht="16.5" customHeight="1">
      <c r="A740" s="197"/>
      <c r="B740" s="119"/>
      <c r="C740" s="119"/>
      <c r="D740" s="198"/>
      <c r="E740" s="119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</row>
    <row r="741" ht="16.5" customHeight="1">
      <c r="A741" s="197"/>
      <c r="B741" s="119"/>
      <c r="C741" s="119"/>
      <c r="D741" s="198"/>
      <c r="E741" s="119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</row>
    <row r="742" ht="16.5" customHeight="1">
      <c r="A742" s="197"/>
      <c r="B742" s="119"/>
      <c r="C742" s="119"/>
      <c r="D742" s="198"/>
      <c r="E742" s="119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</row>
    <row r="743" ht="16.5" customHeight="1">
      <c r="A743" s="197"/>
      <c r="B743" s="119"/>
      <c r="C743" s="119"/>
      <c r="D743" s="198"/>
      <c r="E743" s="119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</row>
    <row r="744" ht="16.5" customHeight="1">
      <c r="A744" s="197"/>
      <c r="B744" s="119"/>
      <c r="C744" s="119"/>
      <c r="D744" s="198"/>
      <c r="E744" s="119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</row>
    <row r="745" ht="16.5" customHeight="1">
      <c r="A745" s="197"/>
      <c r="B745" s="119"/>
      <c r="C745" s="119"/>
      <c r="D745" s="198"/>
      <c r="E745" s="119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</row>
    <row r="746" ht="16.5" customHeight="1">
      <c r="A746" s="197"/>
      <c r="B746" s="119"/>
      <c r="C746" s="119"/>
      <c r="D746" s="198"/>
      <c r="E746" s="119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</row>
    <row r="747" ht="16.5" customHeight="1">
      <c r="A747" s="197"/>
      <c r="B747" s="119"/>
      <c r="C747" s="119"/>
      <c r="D747" s="198"/>
      <c r="E747" s="119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</row>
    <row r="748" ht="16.5" customHeight="1">
      <c r="A748" s="197"/>
      <c r="B748" s="119"/>
      <c r="C748" s="119"/>
      <c r="D748" s="198"/>
      <c r="E748" s="119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</row>
    <row r="749" ht="16.5" customHeight="1">
      <c r="A749" s="197"/>
      <c r="B749" s="119"/>
      <c r="C749" s="119"/>
      <c r="D749" s="198"/>
      <c r="E749" s="119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</row>
    <row r="750" ht="16.5" customHeight="1">
      <c r="A750" s="197"/>
      <c r="B750" s="119"/>
      <c r="C750" s="119"/>
      <c r="D750" s="198"/>
      <c r="E750" s="119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</row>
    <row r="751" ht="16.5" customHeight="1">
      <c r="A751" s="197"/>
      <c r="B751" s="119"/>
      <c r="C751" s="119"/>
      <c r="D751" s="198"/>
      <c r="E751" s="119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</row>
    <row r="752" ht="16.5" customHeight="1">
      <c r="A752" s="197"/>
      <c r="B752" s="119"/>
      <c r="C752" s="119"/>
      <c r="D752" s="198"/>
      <c r="E752" s="119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</row>
    <row r="753" ht="16.5" customHeight="1">
      <c r="A753" s="197"/>
      <c r="B753" s="119"/>
      <c r="C753" s="119"/>
      <c r="D753" s="198"/>
      <c r="E753" s="119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</row>
    <row r="754" ht="16.5" customHeight="1">
      <c r="A754" s="197"/>
      <c r="B754" s="119"/>
      <c r="C754" s="119"/>
      <c r="D754" s="198"/>
      <c r="E754" s="119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</row>
    <row r="755" ht="16.5" customHeight="1">
      <c r="A755" s="197"/>
      <c r="B755" s="119"/>
      <c r="C755" s="119"/>
      <c r="D755" s="198"/>
      <c r="E755" s="119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</row>
    <row r="756" ht="16.5" customHeight="1">
      <c r="A756" s="197"/>
      <c r="B756" s="119"/>
      <c r="C756" s="119"/>
      <c r="D756" s="198"/>
      <c r="E756" s="119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</row>
    <row r="757" ht="16.5" customHeight="1">
      <c r="A757" s="197"/>
      <c r="B757" s="119"/>
      <c r="C757" s="119"/>
      <c r="D757" s="198"/>
      <c r="E757" s="119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</row>
    <row r="758" ht="16.5" customHeight="1">
      <c r="A758" s="197"/>
      <c r="B758" s="119"/>
      <c r="C758" s="119"/>
      <c r="D758" s="198"/>
      <c r="E758" s="119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</row>
    <row r="759" ht="16.5" customHeight="1">
      <c r="A759" s="197"/>
      <c r="B759" s="119"/>
      <c r="C759" s="119"/>
      <c r="D759" s="198"/>
      <c r="E759" s="119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</row>
    <row r="760" ht="16.5" customHeight="1">
      <c r="A760" s="197"/>
      <c r="B760" s="119"/>
      <c r="C760" s="119"/>
      <c r="D760" s="198"/>
      <c r="E760" s="119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</row>
    <row r="761" ht="16.5" customHeight="1">
      <c r="A761" s="197"/>
      <c r="B761" s="119"/>
      <c r="C761" s="119"/>
      <c r="D761" s="198"/>
      <c r="E761" s="119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</row>
    <row r="762" ht="16.5" customHeight="1">
      <c r="A762" s="197"/>
      <c r="B762" s="119"/>
      <c r="C762" s="119"/>
      <c r="D762" s="198"/>
      <c r="E762" s="119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</row>
    <row r="763" ht="16.5" customHeight="1">
      <c r="A763" s="197"/>
      <c r="B763" s="119"/>
      <c r="C763" s="119"/>
      <c r="D763" s="198"/>
      <c r="E763" s="119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</row>
    <row r="764" ht="16.5" customHeight="1">
      <c r="A764" s="197"/>
      <c r="B764" s="119"/>
      <c r="C764" s="119"/>
      <c r="D764" s="198"/>
      <c r="E764" s="119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</row>
    <row r="765" ht="16.5" customHeight="1">
      <c r="A765" s="197"/>
      <c r="B765" s="119"/>
      <c r="C765" s="119"/>
      <c r="D765" s="198"/>
      <c r="E765" s="119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</row>
    <row r="766" ht="16.5" customHeight="1">
      <c r="A766" s="197"/>
      <c r="B766" s="119"/>
      <c r="C766" s="119"/>
      <c r="D766" s="198"/>
      <c r="E766" s="119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</row>
    <row r="767" ht="16.5" customHeight="1">
      <c r="A767" s="197"/>
      <c r="B767" s="119"/>
      <c r="C767" s="119"/>
      <c r="D767" s="198"/>
      <c r="E767" s="119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</row>
    <row r="768" ht="16.5" customHeight="1">
      <c r="A768" s="197"/>
      <c r="B768" s="119"/>
      <c r="C768" s="119"/>
      <c r="D768" s="198"/>
      <c r="E768" s="119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</row>
    <row r="769" ht="16.5" customHeight="1">
      <c r="A769" s="197"/>
      <c r="B769" s="119"/>
      <c r="C769" s="119"/>
      <c r="D769" s="198"/>
      <c r="E769" s="119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</row>
    <row r="770" ht="16.5" customHeight="1">
      <c r="A770" s="197"/>
      <c r="B770" s="119"/>
      <c r="C770" s="119"/>
      <c r="D770" s="198"/>
      <c r="E770" s="119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</row>
    <row r="771" ht="16.5" customHeight="1">
      <c r="A771" s="197"/>
      <c r="B771" s="119"/>
      <c r="C771" s="119"/>
      <c r="D771" s="198"/>
      <c r="E771" s="119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</row>
    <row r="772" ht="16.5" customHeight="1">
      <c r="A772" s="197"/>
      <c r="B772" s="119"/>
      <c r="C772" s="119"/>
      <c r="D772" s="198"/>
      <c r="E772" s="119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</row>
    <row r="773" ht="16.5" customHeight="1">
      <c r="A773" s="197"/>
      <c r="B773" s="119"/>
      <c r="C773" s="119"/>
      <c r="D773" s="198"/>
      <c r="E773" s="119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</row>
    <row r="774" ht="16.5" customHeight="1">
      <c r="A774" s="197"/>
      <c r="B774" s="119"/>
      <c r="C774" s="119"/>
      <c r="D774" s="198"/>
      <c r="E774" s="119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</row>
    <row r="775" ht="16.5" customHeight="1">
      <c r="A775" s="197"/>
      <c r="B775" s="119"/>
      <c r="C775" s="119"/>
      <c r="D775" s="198"/>
      <c r="E775" s="119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</row>
    <row r="776" ht="16.5" customHeight="1">
      <c r="A776" s="197"/>
      <c r="B776" s="119"/>
      <c r="C776" s="119"/>
      <c r="D776" s="198"/>
      <c r="E776" s="119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</row>
    <row r="777" ht="16.5" customHeight="1">
      <c r="A777" s="197"/>
      <c r="B777" s="119"/>
      <c r="C777" s="119"/>
      <c r="D777" s="198"/>
      <c r="E777" s="119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</row>
    <row r="778" ht="16.5" customHeight="1">
      <c r="A778" s="197"/>
      <c r="B778" s="119"/>
      <c r="C778" s="119"/>
      <c r="D778" s="198"/>
      <c r="E778" s="119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</row>
    <row r="779" ht="16.5" customHeight="1">
      <c r="A779" s="197"/>
      <c r="B779" s="119"/>
      <c r="C779" s="119"/>
      <c r="D779" s="198"/>
      <c r="E779" s="119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</row>
    <row r="780" ht="16.5" customHeight="1">
      <c r="A780" s="197"/>
      <c r="B780" s="119"/>
      <c r="C780" s="119"/>
      <c r="D780" s="198"/>
      <c r="E780" s="119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</row>
    <row r="781" ht="16.5" customHeight="1">
      <c r="A781" s="197"/>
      <c r="B781" s="119"/>
      <c r="C781" s="119"/>
      <c r="D781" s="198"/>
      <c r="E781" s="119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</row>
    <row r="782" ht="16.5" customHeight="1">
      <c r="A782" s="197"/>
      <c r="B782" s="119"/>
      <c r="C782" s="119"/>
      <c r="D782" s="198"/>
      <c r="E782" s="119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</row>
    <row r="783" ht="16.5" customHeight="1">
      <c r="A783" s="197"/>
      <c r="B783" s="119"/>
      <c r="C783" s="119"/>
      <c r="D783" s="198"/>
      <c r="E783" s="119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</row>
    <row r="784" ht="16.5" customHeight="1">
      <c r="A784" s="197"/>
      <c r="B784" s="119"/>
      <c r="C784" s="119"/>
      <c r="D784" s="198"/>
      <c r="E784" s="119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</row>
    <row r="785" ht="16.5" customHeight="1">
      <c r="A785" s="197"/>
      <c r="B785" s="119"/>
      <c r="C785" s="119"/>
      <c r="D785" s="198"/>
      <c r="E785" s="119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</row>
    <row r="786" ht="16.5" customHeight="1">
      <c r="A786" s="197"/>
      <c r="B786" s="119"/>
      <c r="C786" s="119"/>
      <c r="D786" s="198"/>
      <c r="E786" s="119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</row>
    <row r="787" ht="16.5" customHeight="1">
      <c r="A787" s="197"/>
      <c r="B787" s="119"/>
      <c r="C787" s="119"/>
      <c r="D787" s="198"/>
      <c r="E787" s="119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</row>
    <row r="788" ht="16.5" customHeight="1">
      <c r="A788" s="197"/>
      <c r="B788" s="119"/>
      <c r="C788" s="119"/>
      <c r="D788" s="198"/>
      <c r="E788" s="119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</row>
    <row r="789" ht="16.5" customHeight="1">
      <c r="A789" s="197"/>
      <c r="B789" s="119"/>
      <c r="C789" s="119"/>
      <c r="D789" s="198"/>
      <c r="E789" s="119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</row>
    <row r="790" ht="16.5" customHeight="1">
      <c r="A790" s="197"/>
      <c r="B790" s="119"/>
      <c r="C790" s="119"/>
      <c r="D790" s="198"/>
      <c r="E790" s="119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</row>
    <row r="791" ht="16.5" customHeight="1">
      <c r="A791" s="197"/>
      <c r="B791" s="119"/>
      <c r="C791" s="119"/>
      <c r="D791" s="198"/>
      <c r="E791" s="119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</row>
    <row r="792" ht="16.5" customHeight="1">
      <c r="A792" s="197"/>
      <c r="B792" s="119"/>
      <c r="C792" s="119"/>
      <c r="D792" s="198"/>
      <c r="E792" s="119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</row>
    <row r="793" ht="16.5" customHeight="1">
      <c r="A793" s="197"/>
      <c r="B793" s="119"/>
      <c r="C793" s="119"/>
      <c r="D793" s="198"/>
      <c r="E793" s="119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</row>
    <row r="794" ht="16.5" customHeight="1">
      <c r="A794" s="197"/>
      <c r="B794" s="119"/>
      <c r="C794" s="119"/>
      <c r="D794" s="198"/>
      <c r="E794" s="119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</row>
    <row r="795" ht="16.5" customHeight="1">
      <c r="A795" s="197"/>
      <c r="B795" s="119"/>
      <c r="C795" s="119"/>
      <c r="D795" s="198"/>
      <c r="E795" s="119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</row>
    <row r="796" ht="16.5" customHeight="1">
      <c r="A796" s="197"/>
      <c r="B796" s="119"/>
      <c r="C796" s="119"/>
      <c r="D796" s="198"/>
      <c r="E796" s="119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</row>
    <row r="797" ht="16.5" customHeight="1">
      <c r="A797" s="197"/>
      <c r="B797" s="119"/>
      <c r="C797" s="119"/>
      <c r="D797" s="198"/>
      <c r="E797" s="119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</row>
    <row r="798" ht="16.5" customHeight="1">
      <c r="A798" s="197"/>
      <c r="B798" s="119"/>
      <c r="C798" s="119"/>
      <c r="D798" s="198"/>
      <c r="E798" s="119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</row>
    <row r="799" ht="16.5" customHeight="1">
      <c r="A799" s="197"/>
      <c r="B799" s="119"/>
      <c r="C799" s="119"/>
      <c r="D799" s="198"/>
      <c r="E799" s="119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</row>
    <row r="800" ht="16.5" customHeight="1">
      <c r="A800" s="197"/>
      <c r="B800" s="119"/>
      <c r="C800" s="119"/>
      <c r="D800" s="198"/>
      <c r="E800" s="119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</row>
    <row r="801" ht="16.5" customHeight="1">
      <c r="A801" s="197"/>
      <c r="B801" s="119"/>
      <c r="C801" s="119"/>
      <c r="D801" s="198"/>
      <c r="E801" s="119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</row>
    <row r="802" ht="16.5" customHeight="1">
      <c r="A802" s="197"/>
      <c r="B802" s="119"/>
      <c r="C802" s="119"/>
      <c r="D802" s="198"/>
      <c r="E802" s="119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</row>
    <row r="803" ht="16.5" customHeight="1">
      <c r="A803" s="197"/>
      <c r="B803" s="119"/>
      <c r="C803" s="119"/>
      <c r="D803" s="198"/>
      <c r="E803" s="119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</row>
    <row r="804" ht="16.5" customHeight="1">
      <c r="A804" s="197"/>
      <c r="B804" s="119"/>
      <c r="C804" s="119"/>
      <c r="D804" s="198"/>
      <c r="E804" s="119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</row>
    <row r="805" ht="16.5" customHeight="1">
      <c r="A805" s="197"/>
      <c r="B805" s="119"/>
      <c r="C805" s="119"/>
      <c r="D805" s="198"/>
      <c r="E805" s="119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</row>
    <row r="806" ht="16.5" customHeight="1">
      <c r="A806" s="197"/>
      <c r="B806" s="119"/>
      <c r="C806" s="119"/>
      <c r="D806" s="198"/>
      <c r="E806" s="119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</row>
    <row r="807" ht="16.5" customHeight="1">
      <c r="A807" s="197"/>
      <c r="B807" s="119"/>
      <c r="C807" s="119"/>
      <c r="D807" s="198"/>
      <c r="E807" s="119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</row>
    <row r="808" ht="16.5" customHeight="1">
      <c r="A808" s="197"/>
      <c r="B808" s="119"/>
      <c r="C808" s="119"/>
      <c r="D808" s="198"/>
      <c r="E808" s="119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</row>
    <row r="809" ht="16.5" customHeight="1">
      <c r="A809" s="197"/>
      <c r="B809" s="119"/>
      <c r="C809" s="119"/>
      <c r="D809" s="198"/>
      <c r="E809" s="119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</row>
    <row r="810" ht="16.5" customHeight="1">
      <c r="A810" s="197"/>
      <c r="B810" s="119"/>
      <c r="C810" s="119"/>
      <c r="D810" s="198"/>
      <c r="E810" s="119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</row>
    <row r="811" ht="16.5" customHeight="1">
      <c r="A811" s="197"/>
      <c r="B811" s="119"/>
      <c r="C811" s="119"/>
      <c r="D811" s="198"/>
      <c r="E811" s="119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</row>
    <row r="812" ht="16.5" customHeight="1">
      <c r="A812" s="197"/>
      <c r="B812" s="119"/>
      <c r="C812" s="119"/>
      <c r="D812" s="198"/>
      <c r="E812" s="119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</row>
    <row r="813" ht="16.5" customHeight="1">
      <c r="A813" s="197"/>
      <c r="B813" s="119"/>
      <c r="C813" s="119"/>
      <c r="D813" s="198"/>
      <c r="E813" s="119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</row>
    <row r="814" ht="16.5" customHeight="1">
      <c r="A814" s="197"/>
      <c r="B814" s="119"/>
      <c r="C814" s="119"/>
      <c r="D814" s="198"/>
      <c r="E814" s="119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</row>
    <row r="815" ht="16.5" customHeight="1">
      <c r="A815" s="197"/>
      <c r="B815" s="119"/>
      <c r="C815" s="119"/>
      <c r="D815" s="198"/>
      <c r="E815" s="119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</row>
    <row r="816" ht="16.5" customHeight="1">
      <c r="A816" s="197"/>
      <c r="B816" s="119"/>
      <c r="C816" s="119"/>
      <c r="D816" s="198"/>
      <c r="E816" s="119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</row>
    <row r="817" ht="16.5" customHeight="1">
      <c r="A817" s="197"/>
      <c r="B817" s="119"/>
      <c r="C817" s="119"/>
      <c r="D817" s="198"/>
      <c r="E817" s="119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</row>
    <row r="818" ht="16.5" customHeight="1">
      <c r="A818" s="197"/>
      <c r="B818" s="119"/>
      <c r="C818" s="119"/>
      <c r="D818" s="198"/>
      <c r="E818" s="119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</row>
    <row r="819" ht="16.5" customHeight="1">
      <c r="A819" s="197"/>
      <c r="B819" s="119"/>
      <c r="C819" s="119"/>
      <c r="D819" s="198"/>
      <c r="E819" s="119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</row>
    <row r="820" ht="16.5" customHeight="1">
      <c r="A820" s="197"/>
      <c r="B820" s="119"/>
      <c r="C820" s="119"/>
      <c r="D820" s="198"/>
      <c r="E820" s="119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</row>
    <row r="821" ht="16.5" customHeight="1">
      <c r="A821" s="197"/>
      <c r="B821" s="119"/>
      <c r="C821" s="119"/>
      <c r="D821" s="198"/>
      <c r="E821" s="119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</row>
    <row r="822" ht="16.5" customHeight="1">
      <c r="A822" s="197"/>
      <c r="B822" s="119"/>
      <c r="C822" s="119"/>
      <c r="D822" s="198"/>
      <c r="E822" s="119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</row>
    <row r="823" ht="16.5" customHeight="1">
      <c r="A823" s="197"/>
      <c r="B823" s="119"/>
      <c r="C823" s="119"/>
      <c r="D823" s="198"/>
      <c r="E823" s="119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</row>
    <row r="824" ht="16.5" customHeight="1">
      <c r="A824" s="197"/>
      <c r="B824" s="119"/>
      <c r="C824" s="119"/>
      <c r="D824" s="198"/>
      <c r="E824" s="119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</row>
    <row r="825" ht="16.5" customHeight="1">
      <c r="A825" s="197"/>
      <c r="B825" s="119"/>
      <c r="C825" s="119"/>
      <c r="D825" s="198"/>
      <c r="E825" s="119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</row>
    <row r="826" ht="16.5" customHeight="1">
      <c r="A826" s="197"/>
      <c r="B826" s="119"/>
      <c r="C826" s="119"/>
      <c r="D826" s="198"/>
      <c r="E826" s="119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</row>
    <row r="827" ht="16.5" customHeight="1">
      <c r="A827" s="197"/>
      <c r="B827" s="119"/>
      <c r="C827" s="119"/>
      <c r="D827" s="198"/>
      <c r="E827" s="119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</row>
    <row r="828" ht="16.5" customHeight="1">
      <c r="A828" s="197"/>
      <c r="B828" s="119"/>
      <c r="C828" s="119"/>
      <c r="D828" s="198"/>
      <c r="E828" s="119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</row>
    <row r="829" ht="16.5" customHeight="1">
      <c r="A829" s="197"/>
      <c r="B829" s="119"/>
      <c r="C829" s="119"/>
      <c r="D829" s="198"/>
      <c r="E829" s="119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</row>
    <row r="830" ht="16.5" customHeight="1">
      <c r="A830" s="197"/>
      <c r="B830" s="119"/>
      <c r="C830" s="119"/>
      <c r="D830" s="198"/>
      <c r="E830" s="119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</row>
    <row r="831" ht="16.5" customHeight="1">
      <c r="A831" s="197"/>
      <c r="B831" s="119"/>
      <c r="C831" s="119"/>
      <c r="D831" s="198"/>
      <c r="E831" s="119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</row>
    <row r="832" ht="16.5" customHeight="1">
      <c r="A832" s="197"/>
      <c r="B832" s="119"/>
      <c r="C832" s="119"/>
      <c r="D832" s="198"/>
      <c r="E832" s="119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</row>
    <row r="833" ht="16.5" customHeight="1">
      <c r="A833" s="197"/>
      <c r="B833" s="119"/>
      <c r="C833" s="119"/>
      <c r="D833" s="198"/>
      <c r="E833" s="119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</row>
    <row r="834" ht="16.5" customHeight="1">
      <c r="A834" s="197"/>
      <c r="B834" s="119"/>
      <c r="C834" s="119"/>
      <c r="D834" s="198"/>
      <c r="E834" s="119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</row>
    <row r="835" ht="16.5" customHeight="1">
      <c r="A835" s="197"/>
      <c r="B835" s="119"/>
      <c r="C835" s="119"/>
      <c r="D835" s="198"/>
      <c r="E835" s="119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</row>
    <row r="836" ht="16.5" customHeight="1">
      <c r="A836" s="197"/>
      <c r="B836" s="119"/>
      <c r="C836" s="119"/>
      <c r="D836" s="198"/>
      <c r="E836" s="119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</row>
    <row r="837" ht="16.5" customHeight="1">
      <c r="A837" s="197"/>
      <c r="B837" s="119"/>
      <c r="C837" s="119"/>
      <c r="D837" s="198"/>
      <c r="E837" s="119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</row>
    <row r="838" ht="16.5" customHeight="1">
      <c r="A838" s="197"/>
      <c r="B838" s="119"/>
      <c r="C838" s="119"/>
      <c r="D838" s="198"/>
      <c r="E838" s="119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</row>
    <row r="839" ht="16.5" customHeight="1">
      <c r="A839" s="197"/>
      <c r="B839" s="119"/>
      <c r="C839" s="119"/>
      <c r="D839" s="198"/>
      <c r="E839" s="119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</row>
    <row r="840" ht="16.5" customHeight="1">
      <c r="A840" s="197"/>
      <c r="B840" s="119"/>
      <c r="C840" s="119"/>
      <c r="D840" s="198"/>
      <c r="E840" s="119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</row>
    <row r="841" ht="16.5" customHeight="1">
      <c r="A841" s="197"/>
      <c r="B841" s="119"/>
      <c r="C841" s="119"/>
      <c r="D841" s="198"/>
      <c r="E841" s="119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</row>
    <row r="842" ht="16.5" customHeight="1">
      <c r="A842" s="197"/>
      <c r="B842" s="119"/>
      <c r="C842" s="119"/>
      <c r="D842" s="198"/>
      <c r="E842" s="119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</row>
    <row r="843" ht="16.5" customHeight="1">
      <c r="A843" s="197"/>
      <c r="B843" s="119"/>
      <c r="C843" s="119"/>
      <c r="D843" s="198"/>
      <c r="E843" s="119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</row>
    <row r="844" ht="16.5" customHeight="1">
      <c r="A844" s="197"/>
      <c r="B844" s="119"/>
      <c r="C844" s="119"/>
      <c r="D844" s="198"/>
      <c r="E844" s="119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</row>
    <row r="845" ht="16.5" customHeight="1">
      <c r="A845" s="197"/>
      <c r="B845" s="119"/>
      <c r="C845" s="119"/>
      <c r="D845" s="198"/>
      <c r="E845" s="119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</row>
    <row r="846" ht="16.5" customHeight="1">
      <c r="A846" s="197"/>
      <c r="B846" s="119"/>
      <c r="C846" s="119"/>
      <c r="D846" s="198"/>
      <c r="E846" s="119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</row>
    <row r="847" ht="16.5" customHeight="1">
      <c r="A847" s="197"/>
      <c r="B847" s="119"/>
      <c r="C847" s="119"/>
      <c r="D847" s="198"/>
      <c r="E847" s="119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</row>
    <row r="848" ht="16.5" customHeight="1">
      <c r="A848" s="197"/>
      <c r="B848" s="119"/>
      <c r="C848" s="119"/>
      <c r="D848" s="198"/>
      <c r="E848" s="119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</row>
    <row r="849" ht="16.5" customHeight="1">
      <c r="A849" s="197"/>
      <c r="B849" s="119"/>
      <c r="C849" s="119"/>
      <c r="D849" s="198"/>
      <c r="E849" s="119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</row>
    <row r="850" ht="16.5" customHeight="1">
      <c r="A850" s="197"/>
      <c r="B850" s="119"/>
      <c r="C850" s="119"/>
      <c r="D850" s="198"/>
      <c r="E850" s="119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</row>
    <row r="851" ht="16.5" customHeight="1">
      <c r="A851" s="197"/>
      <c r="B851" s="119"/>
      <c r="C851" s="119"/>
      <c r="D851" s="198"/>
      <c r="E851" s="119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</row>
    <row r="852" ht="16.5" customHeight="1">
      <c r="A852" s="197"/>
      <c r="B852" s="119"/>
      <c r="C852" s="119"/>
      <c r="D852" s="198"/>
      <c r="E852" s="119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</row>
    <row r="853" ht="16.5" customHeight="1">
      <c r="A853" s="197"/>
      <c r="B853" s="119"/>
      <c r="C853" s="119"/>
      <c r="D853" s="198"/>
      <c r="E853" s="119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</row>
    <row r="854" ht="16.5" customHeight="1">
      <c r="A854" s="197"/>
      <c r="B854" s="119"/>
      <c r="C854" s="119"/>
      <c r="D854" s="198"/>
      <c r="E854" s="119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</row>
    <row r="855" ht="16.5" customHeight="1">
      <c r="A855" s="197"/>
      <c r="B855" s="119"/>
      <c r="C855" s="119"/>
      <c r="D855" s="198"/>
      <c r="E855" s="119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</row>
    <row r="856" ht="16.5" customHeight="1">
      <c r="A856" s="197"/>
      <c r="B856" s="119"/>
      <c r="C856" s="119"/>
      <c r="D856" s="198"/>
      <c r="E856" s="119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</row>
    <row r="857" ht="16.5" customHeight="1">
      <c r="A857" s="197"/>
      <c r="B857" s="119"/>
      <c r="C857" s="119"/>
      <c r="D857" s="198"/>
      <c r="E857" s="119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</row>
    <row r="858" ht="16.5" customHeight="1">
      <c r="A858" s="197"/>
      <c r="B858" s="119"/>
      <c r="C858" s="119"/>
      <c r="D858" s="198"/>
      <c r="E858" s="119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</row>
    <row r="859" ht="16.5" customHeight="1">
      <c r="A859" s="197"/>
      <c r="B859" s="119"/>
      <c r="C859" s="119"/>
      <c r="D859" s="198"/>
      <c r="E859" s="119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</row>
    <row r="860" ht="16.5" customHeight="1">
      <c r="A860" s="197"/>
      <c r="B860" s="119"/>
      <c r="C860" s="119"/>
      <c r="D860" s="198"/>
      <c r="E860" s="119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</row>
    <row r="861" ht="16.5" customHeight="1">
      <c r="A861" s="197"/>
      <c r="B861" s="119"/>
      <c r="C861" s="119"/>
      <c r="D861" s="198"/>
      <c r="E861" s="119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</row>
    <row r="862" ht="16.5" customHeight="1">
      <c r="A862" s="197"/>
      <c r="B862" s="119"/>
      <c r="C862" s="119"/>
      <c r="D862" s="198"/>
      <c r="E862" s="119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</row>
    <row r="863" ht="16.5" customHeight="1">
      <c r="A863" s="197"/>
      <c r="B863" s="119"/>
      <c r="C863" s="119"/>
      <c r="D863" s="198"/>
      <c r="E863" s="119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</row>
    <row r="864" ht="16.5" customHeight="1">
      <c r="A864" s="197"/>
      <c r="B864" s="119"/>
      <c r="C864" s="119"/>
      <c r="D864" s="198"/>
      <c r="E864" s="119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</row>
    <row r="865" ht="16.5" customHeight="1">
      <c r="A865" s="197"/>
      <c r="B865" s="119"/>
      <c r="C865" s="119"/>
      <c r="D865" s="198"/>
      <c r="E865" s="119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</row>
    <row r="866" ht="16.5" customHeight="1">
      <c r="A866" s="197"/>
      <c r="B866" s="119"/>
      <c r="C866" s="119"/>
      <c r="D866" s="198"/>
      <c r="E866" s="119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</row>
    <row r="867" ht="16.5" customHeight="1">
      <c r="A867" s="197"/>
      <c r="B867" s="119"/>
      <c r="C867" s="119"/>
      <c r="D867" s="198"/>
      <c r="E867" s="119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</row>
    <row r="868" ht="16.5" customHeight="1">
      <c r="A868" s="197"/>
      <c r="B868" s="119"/>
      <c r="C868" s="119"/>
      <c r="D868" s="198"/>
      <c r="E868" s="119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</row>
    <row r="869" ht="16.5" customHeight="1">
      <c r="A869" s="197"/>
      <c r="B869" s="119"/>
      <c r="C869" s="119"/>
      <c r="D869" s="198"/>
      <c r="E869" s="119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</row>
    <row r="870" ht="16.5" customHeight="1">
      <c r="A870" s="197"/>
      <c r="B870" s="119"/>
      <c r="C870" s="119"/>
      <c r="D870" s="198"/>
      <c r="E870" s="119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</row>
    <row r="871" ht="16.5" customHeight="1">
      <c r="A871" s="197"/>
      <c r="B871" s="119"/>
      <c r="C871" s="119"/>
      <c r="D871" s="198"/>
      <c r="E871" s="119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</row>
    <row r="872" ht="16.5" customHeight="1">
      <c r="A872" s="197"/>
      <c r="B872" s="119"/>
      <c r="C872" s="119"/>
      <c r="D872" s="198"/>
      <c r="E872" s="119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</row>
    <row r="873" ht="16.5" customHeight="1">
      <c r="A873" s="197"/>
      <c r="B873" s="119"/>
      <c r="C873" s="119"/>
      <c r="D873" s="198"/>
      <c r="E873" s="119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</row>
    <row r="874" ht="16.5" customHeight="1">
      <c r="A874" s="197"/>
      <c r="B874" s="119"/>
      <c r="C874" s="119"/>
      <c r="D874" s="198"/>
      <c r="E874" s="119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</row>
    <row r="875" ht="16.5" customHeight="1">
      <c r="A875" s="197"/>
      <c r="B875" s="119"/>
      <c r="C875" s="119"/>
      <c r="D875" s="198"/>
      <c r="E875" s="119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</row>
    <row r="876" ht="16.5" customHeight="1">
      <c r="A876" s="197"/>
      <c r="B876" s="119"/>
      <c r="C876" s="119"/>
      <c r="D876" s="198"/>
      <c r="E876" s="119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</row>
    <row r="877" ht="16.5" customHeight="1">
      <c r="A877" s="197"/>
      <c r="B877" s="119"/>
      <c r="C877" s="119"/>
      <c r="D877" s="198"/>
      <c r="E877" s="119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</row>
    <row r="878" ht="16.5" customHeight="1">
      <c r="A878" s="197"/>
      <c r="B878" s="119"/>
      <c r="C878" s="119"/>
      <c r="D878" s="198"/>
      <c r="E878" s="119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</row>
    <row r="879" ht="16.5" customHeight="1">
      <c r="A879" s="197"/>
      <c r="B879" s="119"/>
      <c r="C879" s="119"/>
      <c r="D879" s="198"/>
      <c r="E879" s="119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</row>
    <row r="880" ht="16.5" customHeight="1">
      <c r="A880" s="197"/>
      <c r="B880" s="119"/>
      <c r="C880" s="119"/>
      <c r="D880" s="198"/>
      <c r="E880" s="119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</row>
    <row r="881" ht="16.5" customHeight="1">
      <c r="A881" s="197"/>
      <c r="B881" s="119"/>
      <c r="C881" s="119"/>
      <c r="D881" s="198"/>
      <c r="E881" s="119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</row>
    <row r="882" ht="16.5" customHeight="1">
      <c r="A882" s="197"/>
      <c r="B882" s="119"/>
      <c r="C882" s="119"/>
      <c r="D882" s="198"/>
      <c r="E882" s="119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</row>
    <row r="883" ht="16.5" customHeight="1">
      <c r="A883" s="197"/>
      <c r="B883" s="119"/>
      <c r="C883" s="119"/>
      <c r="D883" s="198"/>
      <c r="E883" s="119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</row>
    <row r="884" ht="16.5" customHeight="1">
      <c r="A884" s="197"/>
      <c r="B884" s="119"/>
      <c r="C884" s="119"/>
      <c r="D884" s="198"/>
      <c r="E884" s="119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</row>
    <row r="885" ht="16.5" customHeight="1">
      <c r="A885" s="197"/>
      <c r="B885" s="119"/>
      <c r="C885" s="119"/>
      <c r="D885" s="198"/>
      <c r="E885" s="119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</row>
    <row r="886" ht="16.5" customHeight="1">
      <c r="A886" s="197"/>
      <c r="B886" s="119"/>
      <c r="C886" s="119"/>
      <c r="D886" s="198"/>
      <c r="E886" s="119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</row>
    <row r="887" ht="16.5" customHeight="1">
      <c r="A887" s="197"/>
      <c r="B887" s="119"/>
      <c r="C887" s="119"/>
      <c r="D887" s="198"/>
      <c r="E887" s="119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</row>
    <row r="888" ht="16.5" customHeight="1">
      <c r="A888" s="197"/>
      <c r="B888" s="119"/>
      <c r="C888" s="119"/>
      <c r="D888" s="198"/>
      <c r="E888" s="119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</row>
    <row r="889" ht="16.5" customHeight="1">
      <c r="A889" s="197"/>
      <c r="B889" s="119"/>
      <c r="C889" s="119"/>
      <c r="D889" s="198"/>
      <c r="E889" s="119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</row>
    <row r="890" ht="16.5" customHeight="1">
      <c r="A890" s="197"/>
      <c r="B890" s="119"/>
      <c r="C890" s="119"/>
      <c r="D890" s="198"/>
      <c r="E890" s="119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</row>
    <row r="891" ht="16.5" customHeight="1">
      <c r="A891" s="197"/>
      <c r="B891" s="119"/>
      <c r="C891" s="119"/>
      <c r="D891" s="198"/>
      <c r="E891" s="119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</row>
    <row r="892" ht="16.5" customHeight="1">
      <c r="A892" s="197"/>
      <c r="B892" s="119"/>
      <c r="C892" s="119"/>
      <c r="D892" s="198"/>
      <c r="E892" s="119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</row>
    <row r="893" ht="16.5" customHeight="1">
      <c r="A893" s="197"/>
      <c r="B893" s="119"/>
      <c r="C893" s="119"/>
      <c r="D893" s="198"/>
      <c r="E893" s="119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</row>
    <row r="894" ht="16.5" customHeight="1">
      <c r="A894" s="197"/>
      <c r="B894" s="119"/>
      <c r="C894" s="119"/>
      <c r="D894" s="198"/>
      <c r="E894" s="119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</row>
    <row r="895" ht="16.5" customHeight="1">
      <c r="A895" s="197"/>
      <c r="B895" s="119"/>
      <c r="C895" s="119"/>
      <c r="D895" s="198"/>
      <c r="E895" s="119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</row>
    <row r="896" ht="16.5" customHeight="1">
      <c r="A896" s="197"/>
      <c r="B896" s="119"/>
      <c r="C896" s="119"/>
      <c r="D896" s="198"/>
      <c r="E896" s="119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</row>
    <row r="897" ht="16.5" customHeight="1">
      <c r="A897" s="197"/>
      <c r="B897" s="119"/>
      <c r="C897" s="119"/>
      <c r="D897" s="198"/>
      <c r="E897" s="119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</row>
    <row r="898" ht="16.5" customHeight="1">
      <c r="A898" s="197"/>
      <c r="B898" s="119"/>
      <c r="C898" s="119"/>
      <c r="D898" s="198"/>
      <c r="E898" s="119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</row>
    <row r="899" ht="16.5" customHeight="1">
      <c r="A899" s="197"/>
      <c r="B899" s="119"/>
      <c r="C899" s="119"/>
      <c r="D899" s="198"/>
      <c r="E899" s="119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</row>
    <row r="900" ht="16.5" customHeight="1">
      <c r="A900" s="197"/>
      <c r="B900" s="119"/>
      <c r="C900" s="119"/>
      <c r="D900" s="198"/>
      <c r="E900" s="119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</row>
    <row r="901" ht="16.5" customHeight="1">
      <c r="A901" s="197"/>
      <c r="B901" s="119"/>
      <c r="C901" s="119"/>
      <c r="D901" s="198"/>
      <c r="E901" s="119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</row>
    <row r="902" ht="16.5" customHeight="1">
      <c r="A902" s="197"/>
      <c r="B902" s="119"/>
      <c r="C902" s="119"/>
      <c r="D902" s="198"/>
      <c r="E902" s="119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</row>
    <row r="903" ht="16.5" customHeight="1">
      <c r="A903" s="197"/>
      <c r="B903" s="119"/>
      <c r="C903" s="119"/>
      <c r="D903" s="198"/>
      <c r="E903" s="119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</row>
    <row r="904" ht="16.5" customHeight="1">
      <c r="A904" s="197"/>
      <c r="B904" s="119"/>
      <c r="C904" s="119"/>
      <c r="D904" s="198"/>
      <c r="E904" s="119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</row>
    <row r="905" ht="16.5" customHeight="1">
      <c r="A905" s="197"/>
      <c r="B905" s="119"/>
      <c r="C905" s="119"/>
      <c r="D905" s="198"/>
      <c r="E905" s="119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</row>
    <row r="906" ht="16.5" customHeight="1">
      <c r="A906" s="197"/>
      <c r="B906" s="119"/>
      <c r="C906" s="119"/>
      <c r="D906" s="198"/>
      <c r="E906" s="119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</row>
    <row r="907" ht="16.5" customHeight="1">
      <c r="A907" s="197"/>
      <c r="B907" s="119"/>
      <c r="C907" s="119"/>
      <c r="D907" s="198"/>
      <c r="E907" s="119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</row>
    <row r="908" ht="16.5" customHeight="1">
      <c r="A908" s="197"/>
      <c r="B908" s="119"/>
      <c r="C908" s="119"/>
      <c r="D908" s="198"/>
      <c r="E908" s="119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</row>
    <row r="909" ht="16.5" customHeight="1">
      <c r="A909" s="197"/>
      <c r="B909" s="119"/>
      <c r="C909" s="119"/>
      <c r="D909" s="198"/>
      <c r="E909" s="119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</row>
    <row r="910" ht="16.5" customHeight="1">
      <c r="A910" s="197"/>
      <c r="B910" s="119"/>
      <c r="C910" s="119"/>
      <c r="D910" s="198"/>
      <c r="E910" s="119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</row>
    <row r="911" ht="16.5" customHeight="1">
      <c r="A911" s="197"/>
      <c r="B911" s="119"/>
      <c r="C911" s="119"/>
      <c r="D911" s="198"/>
      <c r="E911" s="119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</row>
    <row r="912" ht="16.5" customHeight="1">
      <c r="A912" s="197"/>
      <c r="B912" s="119"/>
      <c r="C912" s="119"/>
      <c r="D912" s="198"/>
      <c r="E912" s="119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</row>
    <row r="913" ht="16.5" customHeight="1">
      <c r="A913" s="197"/>
      <c r="B913" s="119"/>
      <c r="C913" s="119"/>
      <c r="D913" s="198"/>
      <c r="E913" s="119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</row>
    <row r="914" ht="16.5" customHeight="1">
      <c r="A914" s="197"/>
      <c r="B914" s="119"/>
      <c r="C914" s="119"/>
      <c r="D914" s="198"/>
      <c r="E914" s="119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</row>
    <row r="915" ht="16.5" customHeight="1">
      <c r="A915" s="197"/>
      <c r="B915" s="119"/>
      <c r="C915" s="119"/>
      <c r="D915" s="198"/>
      <c r="E915" s="119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</row>
    <row r="916" ht="16.5" customHeight="1">
      <c r="A916" s="197"/>
      <c r="B916" s="119"/>
      <c r="C916" s="119"/>
      <c r="D916" s="198"/>
      <c r="E916" s="119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</row>
    <row r="917" ht="16.5" customHeight="1">
      <c r="A917" s="197"/>
      <c r="B917" s="119"/>
      <c r="C917" s="119"/>
      <c r="D917" s="198"/>
      <c r="E917" s="119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</row>
    <row r="918" ht="16.5" customHeight="1">
      <c r="A918" s="197"/>
      <c r="B918" s="119"/>
      <c r="C918" s="119"/>
      <c r="D918" s="198"/>
      <c r="E918" s="119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</row>
    <row r="919" ht="16.5" customHeight="1">
      <c r="A919" s="197"/>
      <c r="B919" s="119"/>
      <c r="C919" s="119"/>
      <c r="D919" s="198"/>
      <c r="E919" s="119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</row>
    <row r="920" ht="16.5" customHeight="1">
      <c r="A920" s="197"/>
      <c r="B920" s="119"/>
      <c r="C920" s="119"/>
      <c r="D920" s="198"/>
      <c r="E920" s="119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</row>
    <row r="921" ht="16.5" customHeight="1">
      <c r="A921" s="197"/>
      <c r="B921" s="119"/>
      <c r="C921" s="119"/>
      <c r="D921" s="198"/>
      <c r="E921" s="119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</row>
    <row r="922" ht="16.5" customHeight="1">
      <c r="A922" s="197"/>
      <c r="B922" s="119"/>
      <c r="C922" s="119"/>
      <c r="D922" s="198"/>
      <c r="E922" s="119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</row>
    <row r="923" ht="16.5" customHeight="1">
      <c r="A923" s="197"/>
      <c r="B923" s="119"/>
      <c r="C923" s="119"/>
      <c r="D923" s="198"/>
      <c r="E923" s="119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</row>
    <row r="924" ht="16.5" customHeight="1">
      <c r="A924" s="197"/>
      <c r="B924" s="119"/>
      <c r="C924" s="119"/>
      <c r="D924" s="198"/>
      <c r="E924" s="119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</row>
    <row r="925" ht="16.5" customHeight="1">
      <c r="A925" s="197"/>
      <c r="B925" s="119"/>
      <c r="C925" s="119"/>
      <c r="D925" s="198"/>
      <c r="E925" s="119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</row>
    <row r="926" ht="16.5" customHeight="1">
      <c r="A926" s="197"/>
      <c r="B926" s="119"/>
      <c r="C926" s="119"/>
      <c r="D926" s="198"/>
      <c r="E926" s="119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</row>
    <row r="927" ht="16.5" customHeight="1">
      <c r="A927" s="197"/>
      <c r="B927" s="119"/>
      <c r="C927" s="119"/>
      <c r="D927" s="198"/>
      <c r="E927" s="119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</row>
    <row r="928" ht="16.5" customHeight="1">
      <c r="A928" s="197"/>
      <c r="B928" s="119"/>
      <c r="C928" s="119"/>
      <c r="D928" s="198"/>
      <c r="E928" s="119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</row>
    <row r="929" ht="16.5" customHeight="1">
      <c r="A929" s="197"/>
      <c r="B929" s="119"/>
      <c r="C929" s="119"/>
      <c r="D929" s="198"/>
      <c r="E929" s="119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</row>
    <row r="930" ht="16.5" customHeight="1">
      <c r="A930" s="197"/>
      <c r="B930" s="119"/>
      <c r="C930" s="119"/>
      <c r="D930" s="198"/>
      <c r="E930" s="119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</row>
    <row r="931" ht="16.5" customHeight="1">
      <c r="A931" s="197"/>
      <c r="B931" s="119"/>
      <c r="C931" s="119"/>
      <c r="D931" s="198"/>
      <c r="E931" s="119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</row>
    <row r="932" ht="16.5" customHeight="1">
      <c r="A932" s="197"/>
      <c r="B932" s="119"/>
      <c r="C932" s="119"/>
      <c r="D932" s="198"/>
      <c r="E932" s="119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</row>
    <row r="933" ht="16.5" customHeight="1">
      <c r="A933" s="197"/>
      <c r="B933" s="119"/>
      <c r="C933" s="119"/>
      <c r="D933" s="198"/>
      <c r="E933" s="119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</row>
    <row r="934" ht="16.5" customHeight="1">
      <c r="A934" s="197"/>
      <c r="B934" s="119"/>
      <c r="C934" s="119"/>
      <c r="D934" s="198"/>
      <c r="E934" s="119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</row>
    <row r="935" ht="16.5" customHeight="1">
      <c r="A935" s="197"/>
      <c r="B935" s="119"/>
      <c r="C935" s="119"/>
      <c r="D935" s="198"/>
      <c r="E935" s="119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</row>
    <row r="936" ht="16.5" customHeight="1">
      <c r="A936" s="197"/>
      <c r="B936" s="119"/>
      <c r="C936" s="119"/>
      <c r="D936" s="198"/>
      <c r="E936" s="119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</row>
    <row r="937" ht="16.5" customHeight="1">
      <c r="A937" s="197"/>
      <c r="B937" s="119"/>
      <c r="C937" s="119"/>
      <c r="D937" s="198"/>
      <c r="E937" s="119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</row>
    <row r="938" ht="16.5" customHeight="1">
      <c r="A938" s="197"/>
      <c r="B938" s="119"/>
      <c r="C938" s="119"/>
      <c r="D938" s="198"/>
      <c r="E938" s="119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</row>
    <row r="939" ht="16.5" customHeight="1">
      <c r="A939" s="197"/>
      <c r="B939" s="119"/>
      <c r="C939" s="119"/>
      <c r="D939" s="198"/>
      <c r="E939" s="119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</row>
    <row r="940" ht="16.5" customHeight="1">
      <c r="A940" s="197"/>
      <c r="B940" s="119"/>
      <c r="C940" s="119"/>
      <c r="D940" s="198"/>
      <c r="E940" s="119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</row>
    <row r="941" ht="16.5" customHeight="1">
      <c r="A941" s="197"/>
      <c r="B941" s="119"/>
      <c r="C941" s="119"/>
      <c r="D941" s="198"/>
      <c r="E941" s="119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</row>
    <row r="942" ht="16.5" customHeight="1">
      <c r="A942" s="197"/>
      <c r="B942" s="119"/>
      <c r="C942" s="119"/>
      <c r="D942" s="198"/>
      <c r="E942" s="119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</row>
    <row r="943" ht="16.5" customHeight="1">
      <c r="A943" s="197"/>
      <c r="B943" s="119"/>
      <c r="C943" s="119"/>
      <c r="D943" s="198"/>
      <c r="E943" s="119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</row>
    <row r="944" ht="16.5" customHeight="1">
      <c r="A944" s="197"/>
      <c r="B944" s="119"/>
      <c r="C944" s="119"/>
      <c r="D944" s="198"/>
      <c r="E944" s="119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</row>
    <row r="945" ht="16.5" customHeight="1">
      <c r="A945" s="197"/>
      <c r="B945" s="119"/>
      <c r="C945" s="119"/>
      <c r="D945" s="198"/>
      <c r="E945" s="119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</row>
    <row r="946" ht="16.5" customHeight="1">
      <c r="A946" s="197"/>
      <c r="B946" s="119"/>
      <c r="C946" s="119"/>
      <c r="D946" s="198"/>
      <c r="E946" s="119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</row>
    <row r="947" ht="16.5" customHeight="1">
      <c r="A947" s="197"/>
      <c r="B947" s="119"/>
      <c r="C947" s="119"/>
      <c r="D947" s="198"/>
      <c r="E947" s="119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</row>
    <row r="948" ht="16.5" customHeight="1">
      <c r="A948" s="197"/>
      <c r="B948" s="119"/>
      <c r="C948" s="119"/>
      <c r="D948" s="198"/>
      <c r="E948" s="119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</row>
    <row r="949" ht="16.5" customHeight="1">
      <c r="A949" s="197"/>
      <c r="B949" s="119"/>
      <c r="C949" s="119"/>
      <c r="D949" s="198"/>
      <c r="E949" s="119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</row>
    <row r="950" ht="16.5" customHeight="1">
      <c r="A950" s="197"/>
      <c r="B950" s="119"/>
      <c r="C950" s="119"/>
      <c r="D950" s="198"/>
      <c r="E950" s="119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</row>
    <row r="951" ht="16.5" customHeight="1">
      <c r="A951" s="197"/>
      <c r="B951" s="119"/>
      <c r="C951" s="119"/>
      <c r="D951" s="198"/>
      <c r="E951" s="119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</row>
    <row r="952" ht="16.5" customHeight="1">
      <c r="A952" s="197"/>
      <c r="B952" s="119"/>
      <c r="C952" s="119"/>
      <c r="D952" s="198"/>
      <c r="E952" s="119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</row>
    <row r="953" ht="16.5" customHeight="1">
      <c r="A953" s="197"/>
      <c r="B953" s="119"/>
      <c r="C953" s="119"/>
      <c r="D953" s="198"/>
      <c r="E953" s="119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</row>
    <row r="954" ht="16.5" customHeight="1">
      <c r="A954" s="197"/>
      <c r="B954" s="119"/>
      <c r="C954" s="119"/>
      <c r="D954" s="198"/>
      <c r="E954" s="119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</row>
    <row r="955" ht="16.5" customHeight="1">
      <c r="A955" s="197"/>
      <c r="B955" s="119"/>
      <c r="C955" s="119"/>
      <c r="D955" s="198"/>
      <c r="E955" s="119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</row>
    <row r="956" ht="16.5" customHeight="1">
      <c r="A956" s="197"/>
      <c r="B956" s="119"/>
      <c r="C956" s="119"/>
      <c r="D956" s="198"/>
      <c r="E956" s="119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</row>
    <row r="957" ht="16.5" customHeight="1">
      <c r="A957" s="197"/>
      <c r="B957" s="119"/>
      <c r="C957" s="119"/>
      <c r="D957" s="198"/>
      <c r="E957" s="119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</row>
    <row r="958" ht="16.5" customHeight="1">
      <c r="A958" s="197"/>
      <c r="B958" s="119"/>
      <c r="C958" s="119"/>
      <c r="D958" s="198"/>
      <c r="E958" s="119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</row>
    <row r="959" ht="16.5" customHeight="1">
      <c r="A959" s="197"/>
      <c r="B959" s="119"/>
      <c r="C959" s="119"/>
      <c r="D959" s="198"/>
      <c r="E959" s="119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</row>
    <row r="960" ht="16.5" customHeight="1">
      <c r="A960" s="197"/>
      <c r="B960" s="119"/>
      <c r="C960" s="119"/>
      <c r="D960" s="198"/>
      <c r="E960" s="119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</row>
    <row r="961" ht="16.5" customHeight="1">
      <c r="A961" s="197"/>
      <c r="B961" s="119"/>
      <c r="C961" s="119"/>
      <c r="D961" s="198"/>
      <c r="E961" s="119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</row>
    <row r="962" ht="16.5" customHeight="1">
      <c r="A962" s="197"/>
      <c r="B962" s="119"/>
      <c r="C962" s="119"/>
      <c r="D962" s="198"/>
      <c r="E962" s="119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</row>
    <row r="963" ht="16.5" customHeight="1">
      <c r="A963" s="197"/>
      <c r="B963" s="119"/>
      <c r="C963" s="119"/>
      <c r="D963" s="198"/>
      <c r="E963" s="119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</row>
    <row r="964" ht="16.5" customHeight="1">
      <c r="A964" s="197"/>
      <c r="B964" s="119"/>
      <c r="C964" s="119"/>
      <c r="D964" s="198"/>
      <c r="E964" s="119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</row>
    <row r="965" ht="16.5" customHeight="1">
      <c r="A965" s="197"/>
      <c r="B965" s="119"/>
      <c r="C965" s="119"/>
      <c r="D965" s="198"/>
      <c r="E965" s="119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</row>
    <row r="966" ht="16.5" customHeight="1">
      <c r="A966" s="197"/>
      <c r="B966" s="119"/>
      <c r="C966" s="119"/>
      <c r="D966" s="198"/>
      <c r="E966" s="119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</row>
    <row r="967" ht="16.5" customHeight="1">
      <c r="A967" s="197"/>
      <c r="B967" s="119"/>
      <c r="C967" s="119"/>
      <c r="D967" s="198"/>
      <c r="E967" s="119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</row>
    <row r="968" ht="16.5" customHeight="1">
      <c r="A968" s="197"/>
      <c r="B968" s="119"/>
      <c r="C968" s="119"/>
      <c r="D968" s="198"/>
      <c r="E968" s="119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</row>
    <row r="969" ht="16.5" customHeight="1">
      <c r="A969" s="197"/>
      <c r="B969" s="119"/>
      <c r="C969" s="119"/>
      <c r="D969" s="198"/>
      <c r="E969" s="119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</row>
    <row r="970" ht="16.5" customHeight="1">
      <c r="A970" s="197"/>
      <c r="B970" s="119"/>
      <c r="C970" s="119"/>
      <c r="D970" s="198"/>
      <c r="E970" s="119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</row>
    <row r="971" ht="16.5" customHeight="1">
      <c r="A971" s="197"/>
      <c r="B971" s="119"/>
      <c r="C971" s="119"/>
      <c r="D971" s="198"/>
      <c r="E971" s="119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</row>
    <row r="972" ht="16.5" customHeight="1">
      <c r="A972" s="197"/>
      <c r="B972" s="119"/>
      <c r="C972" s="119"/>
      <c r="D972" s="198"/>
      <c r="E972" s="119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</row>
    <row r="973" ht="16.5" customHeight="1">
      <c r="A973" s="197"/>
      <c r="B973" s="119"/>
      <c r="C973" s="119"/>
      <c r="D973" s="198"/>
      <c r="E973" s="119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</row>
    <row r="974" ht="16.5" customHeight="1">
      <c r="A974" s="197"/>
      <c r="B974" s="119"/>
      <c r="C974" s="119"/>
      <c r="D974" s="198"/>
      <c r="E974" s="119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</row>
    <row r="975" ht="16.5" customHeight="1">
      <c r="A975" s="197"/>
      <c r="B975" s="119"/>
      <c r="C975" s="119"/>
      <c r="D975" s="198"/>
      <c r="E975" s="119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</row>
    <row r="976" ht="16.5" customHeight="1">
      <c r="A976" s="197"/>
      <c r="B976" s="119"/>
      <c r="C976" s="119"/>
      <c r="D976" s="198"/>
      <c r="E976" s="119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</row>
    <row r="977" ht="16.5" customHeight="1">
      <c r="A977" s="197"/>
      <c r="B977" s="119"/>
      <c r="C977" s="119"/>
      <c r="D977" s="198"/>
      <c r="E977" s="119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</row>
    <row r="978" ht="16.5" customHeight="1">
      <c r="A978" s="197"/>
      <c r="B978" s="119"/>
      <c r="C978" s="119"/>
      <c r="D978" s="198"/>
      <c r="E978" s="119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</row>
    <row r="979" ht="16.5" customHeight="1">
      <c r="A979" s="197"/>
      <c r="B979" s="119"/>
      <c r="C979" s="119"/>
      <c r="D979" s="198"/>
      <c r="E979" s="119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</row>
    <row r="980" ht="16.5" customHeight="1">
      <c r="A980" s="197"/>
      <c r="B980" s="119"/>
      <c r="C980" s="119"/>
      <c r="D980" s="198"/>
      <c r="E980" s="119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</row>
    <row r="981" ht="16.5" customHeight="1">
      <c r="A981" s="197"/>
      <c r="B981" s="119"/>
      <c r="C981" s="119"/>
      <c r="D981" s="198"/>
      <c r="E981" s="119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</row>
    <row r="982" ht="16.5" customHeight="1">
      <c r="A982" s="197"/>
      <c r="B982" s="119"/>
      <c r="C982" s="119"/>
      <c r="D982" s="198"/>
      <c r="E982" s="119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</row>
    <row r="983" ht="16.5" customHeight="1">
      <c r="A983" s="197"/>
      <c r="B983" s="119"/>
      <c r="C983" s="119"/>
      <c r="D983" s="198"/>
      <c r="E983" s="119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</row>
  </sheetData>
  <mergeCells count="1">
    <mergeCell ref="A1:E1"/>
  </mergeCells>
  <hyperlinks>
    <hyperlink r:id="rId1" ref="A3"/>
    <hyperlink r:id="rId2" ref="C3"/>
    <hyperlink r:id="rId3" ref="A4"/>
    <hyperlink r:id="rId4" ref="B4"/>
    <hyperlink r:id="rId5" ref="C4"/>
    <hyperlink r:id="rId6" ref="B5"/>
    <hyperlink r:id="rId7" ref="C5"/>
    <hyperlink r:id="rId8" ref="B6"/>
    <hyperlink r:id="rId9" ref="C6"/>
    <hyperlink r:id="rId10" ref="A7"/>
    <hyperlink r:id="rId11" ref="B7"/>
    <hyperlink r:id="rId12" ref="C7"/>
    <hyperlink r:id="rId13" ref="A8"/>
    <hyperlink r:id="rId14" ref="B8"/>
    <hyperlink r:id="rId15" ref="C8"/>
    <hyperlink r:id="rId16" ref="A9"/>
    <hyperlink r:id="rId17" ref="B9"/>
    <hyperlink r:id="rId18" ref="C9"/>
  </hyperlinks>
  <printOptions/>
  <pageMargins bottom="0.75" footer="0.0" header="0.0" left="0.7" right="0.7" top="0.75"/>
  <pageSetup orientation="landscape"/>
  <drawing r:id="rId19"/>
</worksheet>
</file>